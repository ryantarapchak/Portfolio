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login/Desktop/Finance/Other/"/>
    </mc:Choice>
  </mc:AlternateContent>
  <xr:revisionPtr revIDLastSave="0" documentId="13_ncr:1_{51953508-2387-4D4A-9EF2-41EE8B323CBA}" xr6:coauthVersionLast="47" xr6:coauthVersionMax="47" xr10:uidLastSave="{00000000-0000-0000-0000-000000000000}"/>
  <bookViews>
    <workbookView xWindow="0" yWindow="660" windowWidth="30240" windowHeight="17480" xr2:uid="{6E887196-A378-F747-962C-73CA9E25BD74}"/>
  </bookViews>
  <sheets>
    <sheet name="Executive Summary" sheetId="5" r:id="rId1"/>
    <sheet name="Inputs" sheetId="1" r:id="rId2"/>
    <sheet name="Historical Analysis" sheetId="4" r:id="rId3"/>
    <sheet name="Scenario Analysis" sheetId="2" r:id="rId4"/>
  </sheets>
  <definedNames>
    <definedName name="_xlchart.v1.0" hidden="1">'Executive Summary'!$XEV$11:$XEV$13</definedName>
    <definedName name="_xlchart.v1.1" hidden="1">'Executive Summary'!$XEX$11:$XEX$13</definedName>
    <definedName name="_xlchart.v1.2" hidden="1">'Executive Summary'!$XEV$11:$XEV$13</definedName>
    <definedName name="_xlchart.v1.3" hidden="1">'Executive Summary'!$XEW$11:$XEW$13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F25" i="2"/>
  <c r="E9" i="4"/>
  <c r="M23" i="1"/>
  <c r="J10" i="1"/>
  <c r="E41" i="5"/>
  <c r="C43" i="5"/>
  <c r="C41" i="5"/>
  <c r="C40" i="5"/>
  <c r="C39" i="5"/>
  <c r="C38" i="5"/>
  <c r="XEV8" i="5"/>
  <c r="XEV9" i="5"/>
  <c r="C12" i="2"/>
  <c r="B50" i="2"/>
  <c r="C44" i="5" s="1"/>
  <c r="E21" i="2"/>
  <c r="E29" i="2"/>
  <c r="B29" i="2"/>
  <c r="B30" i="2"/>
  <c r="F17" i="1"/>
  <c r="G17" i="1"/>
  <c r="H17" i="1"/>
  <c r="E17" i="1"/>
  <c r="E30" i="2" s="1"/>
  <c r="E17" i="2"/>
  <c r="C17" i="2"/>
  <c r="E16" i="2"/>
  <c r="C16" i="2"/>
  <c r="C13" i="2"/>
  <c r="C11" i="2"/>
  <c r="F13" i="2"/>
  <c r="G13" i="2"/>
  <c r="E13" i="2"/>
  <c r="E12" i="2"/>
  <c r="E11" i="2"/>
  <c r="F16" i="4"/>
  <c r="G16" i="4"/>
  <c r="E16" i="4"/>
  <c r="F24" i="4"/>
  <c r="G24" i="4"/>
  <c r="E24" i="4"/>
  <c r="F22" i="4"/>
  <c r="G22" i="4"/>
  <c r="E22" i="4"/>
  <c r="E19" i="4"/>
  <c r="XEW9" i="5" s="1" a="1"/>
  <c r="XEW9" i="5" s="1"/>
  <c r="F19" i="4"/>
  <c r="G19" i="4"/>
  <c r="F18" i="4"/>
  <c r="G18" i="4"/>
  <c r="E18" i="4"/>
  <c r="F15" i="4"/>
  <c r="G15" i="4"/>
  <c r="E15" i="4"/>
  <c r="XEW8" i="5" s="1" a="1"/>
  <c r="XEW8" i="5" s="1"/>
  <c r="F14" i="4"/>
  <c r="G14" i="4"/>
  <c r="E14" i="4"/>
  <c r="F11" i="4"/>
  <c r="G11" i="4"/>
  <c r="E11" i="4"/>
  <c r="F10" i="4"/>
  <c r="G10" i="4"/>
  <c r="E10" i="4"/>
  <c r="F9" i="4"/>
  <c r="G9" i="4"/>
  <c r="F13" i="1"/>
  <c r="G13" i="1"/>
  <c r="E13" i="1"/>
  <c r="F6" i="4"/>
  <c r="G6" i="4" s="1"/>
  <c r="O11" i="1"/>
  <c r="G39" i="5" s="1"/>
  <c r="N11" i="1"/>
  <c r="F39" i="5" s="1"/>
  <c r="M11" i="1"/>
  <c r="E39" i="5" s="1"/>
  <c r="O12" i="1"/>
  <c r="G21" i="2" s="1"/>
  <c r="N12" i="1"/>
  <c r="F21" i="2" s="1"/>
  <c r="O13" i="1"/>
  <c r="G41" i="5" s="1"/>
  <c r="N13" i="1"/>
  <c r="F41" i="5" s="1"/>
  <c r="F41" i="1"/>
  <c r="F23" i="4" s="1"/>
  <c r="G41" i="1"/>
  <c r="G23" i="4" s="1"/>
  <c r="E41" i="1"/>
  <c r="F6" i="1"/>
  <c r="G6" i="1" s="1"/>
  <c r="H6" i="1" s="1"/>
  <c r="E43" i="2" l="1"/>
  <c r="G29" i="2"/>
  <c r="G30" i="2" s="1"/>
  <c r="E23" i="4"/>
  <c r="F29" i="2"/>
  <c r="F30" i="2" s="1"/>
  <c r="E19" i="2"/>
  <c r="E46" i="2" l="1"/>
  <c r="F43" i="2"/>
  <c r="G43" i="2" s="1"/>
  <c r="G17" i="2"/>
  <c r="G20" i="2"/>
  <c r="G24" i="2" s="1"/>
  <c r="F17" i="2"/>
  <c r="F20" i="2"/>
  <c r="F24" i="2" s="1"/>
  <c r="E20" i="2"/>
  <c r="E47" i="2" l="1"/>
  <c r="F46" i="2"/>
  <c r="G16" i="2"/>
  <c r="G44" i="2"/>
  <c r="XEX11" i="5" s="1"/>
  <c r="G32" i="2"/>
  <c r="G34" i="2" s="1"/>
  <c r="F16" i="2"/>
  <c r="F44" i="2"/>
  <c r="XEW11" i="5" s="1"/>
  <c r="F32" i="2"/>
  <c r="F34" i="2" s="1"/>
  <c r="E44" i="2"/>
  <c r="E49" i="2" s="1"/>
  <c r="E32" i="2"/>
  <c r="E34" i="2" s="1"/>
  <c r="G46" i="2" l="1"/>
  <c r="G47" i="2" s="1"/>
  <c r="XEX12" i="5" s="1"/>
  <c r="XEX13" i="5" s="1"/>
  <c r="F47" i="2"/>
  <c r="E52" i="2"/>
  <c r="E53" i="2" s="1"/>
  <c r="E38" i="5" s="1"/>
  <c r="E43" i="5"/>
  <c r="G49" i="2"/>
  <c r="G36" i="2"/>
  <c r="G38" i="2" s="1"/>
  <c r="F36" i="2"/>
  <c r="F38" i="2" s="1"/>
  <c r="F39" i="2" s="1"/>
  <c r="F40" i="5" s="1"/>
  <c r="E36" i="2"/>
  <c r="E38" i="2" s="1"/>
  <c r="E39" i="2" s="1"/>
  <c r="E40" i="5" s="1"/>
  <c r="XEW12" i="5" l="1"/>
  <c r="XEW13" i="5" s="1"/>
  <c r="F49" i="2"/>
  <c r="G52" i="2"/>
  <c r="G53" i="2" s="1"/>
  <c r="G38" i="5" s="1"/>
  <c r="G43" i="5"/>
  <c r="F52" i="2"/>
  <c r="F53" i="2" s="1"/>
  <c r="F38" i="5" s="1"/>
  <c r="F43" i="5"/>
  <c r="E50" i="2"/>
  <c r="E44" i="5" s="1"/>
  <c r="G39" i="2"/>
  <c r="G40" i="5" s="1"/>
  <c r="G50" i="2"/>
  <c r="G44" i="5" s="1"/>
  <c r="F50" i="2"/>
  <c r="F4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<sst xmlns="http://schemas.openxmlformats.org/spreadsheetml/2006/main" count="193" uniqueCount="153">
  <si>
    <t>Net sales ($)</t>
  </si>
  <si>
    <t>Gross profit</t>
  </si>
  <si>
    <t>Gross margins</t>
  </si>
  <si>
    <t>Operating profit</t>
  </si>
  <si>
    <t>Operating margins</t>
  </si>
  <si>
    <t>Net earnings</t>
  </si>
  <si>
    <t>Net margins</t>
  </si>
  <si>
    <t>Diluted EPS ($)</t>
  </si>
  <si>
    <t>Stores open - end of period</t>
  </si>
  <si>
    <t>Total square footage - end of period</t>
  </si>
  <si>
    <t>% increase in comparable same-store sales</t>
  </si>
  <si>
    <t>Working capital ($)</t>
  </si>
  <si>
    <t>Total assets</t>
  </si>
  <si>
    <t>Long term debt</t>
  </si>
  <si>
    <t>Shareholders' equity</t>
  </si>
  <si>
    <t xml:space="preserve">Fiscal Year Ended </t>
  </si>
  <si>
    <t>Sales</t>
  </si>
  <si>
    <t>Interest income</t>
  </si>
  <si>
    <t>EBIT</t>
  </si>
  <si>
    <t>Interest expense</t>
  </si>
  <si>
    <t>Average shares outstanding-basic</t>
  </si>
  <si>
    <t>Average shares outstanding-diluted</t>
  </si>
  <si>
    <t>Shares repurchased</t>
  </si>
  <si>
    <t>Actual</t>
  </si>
  <si>
    <t>Scenario A</t>
  </si>
  <si>
    <t>Scenario B</t>
  </si>
  <si>
    <t>Basic EPS ($)</t>
  </si>
  <si>
    <t>Cash and cash equivalents</t>
  </si>
  <si>
    <t>Capital Structure Analysis</t>
  </si>
  <si>
    <t xml:space="preserve"> </t>
  </si>
  <si>
    <t>Scenarios</t>
  </si>
  <si>
    <t>Select Income Statement Data</t>
  </si>
  <si>
    <t>Select Operating Data</t>
  </si>
  <si>
    <t>Select Balance Sheet Data</t>
  </si>
  <si>
    <t>Excess Cash</t>
  </si>
  <si>
    <t>Short term investment securities</t>
  </si>
  <si>
    <t>Total current assets</t>
  </si>
  <si>
    <t>Total current liabilities</t>
  </si>
  <si>
    <t>Total liabilities</t>
  </si>
  <si>
    <t>Model Assumptions</t>
  </si>
  <si>
    <t>Tax rate</t>
  </si>
  <si>
    <t>Distress costs</t>
  </si>
  <si>
    <t>Total cash</t>
  </si>
  <si>
    <t>Scenario Drivers</t>
  </si>
  <si>
    <t>Scenario</t>
  </si>
  <si>
    <t>A</t>
  </si>
  <si>
    <t>B</t>
  </si>
  <si>
    <t>Target debt %</t>
  </si>
  <si>
    <t>Interest Rate</t>
  </si>
  <si>
    <t>Distress Probability</t>
  </si>
  <si>
    <t xml:space="preserve">Select Financial Information </t>
  </si>
  <si>
    <t>AAA</t>
  </si>
  <si>
    <t>AA</t>
  </si>
  <si>
    <t>BBB</t>
  </si>
  <si>
    <t>BB</t>
  </si>
  <si>
    <t>CCC</t>
  </si>
  <si>
    <t>Total debt/capital (%)</t>
  </si>
  <si>
    <t>Average default rates, past 15 years</t>
  </si>
  <si>
    <t>Distress costs (% of firm value)</t>
  </si>
  <si>
    <t>Corporate bond rates</t>
  </si>
  <si>
    <t>Average Credit Rating</t>
  </si>
  <si>
    <t>Growth Ratios</t>
  </si>
  <si>
    <t xml:space="preserve">Net earnings </t>
  </si>
  <si>
    <t>-</t>
  </si>
  <si>
    <t>Profitibility Ratios</t>
  </si>
  <si>
    <t>Return on Equity</t>
  </si>
  <si>
    <t>Return on Assets</t>
  </si>
  <si>
    <t>Liquidity Ratio</t>
  </si>
  <si>
    <t>Current ratio</t>
  </si>
  <si>
    <t>Cash ratio</t>
  </si>
  <si>
    <t>Merchandise inventory</t>
  </si>
  <si>
    <t>Cost of sales</t>
  </si>
  <si>
    <t>Inventory turnover</t>
  </si>
  <si>
    <t>Historical Analysis (up to 2004)</t>
  </si>
  <si>
    <t>Unlevered value</t>
  </si>
  <si>
    <t>New debt issued</t>
  </si>
  <si>
    <t>Total buyback value</t>
  </si>
  <si>
    <t>Assumptions</t>
  </si>
  <si>
    <t>Pro Forma Capital Structure</t>
  </si>
  <si>
    <t>Shares Repurchase</t>
  </si>
  <si>
    <t>Implied rate earned on cash</t>
  </si>
  <si>
    <t>Capital Structure Changes</t>
  </si>
  <si>
    <t>Income Statement Adjustment</t>
  </si>
  <si>
    <t>Interest rate</t>
  </si>
  <si>
    <t>Profit before taxes</t>
  </si>
  <si>
    <t>Taxes</t>
  </si>
  <si>
    <t>Adjusted net income</t>
  </si>
  <si>
    <t>Valuation</t>
  </si>
  <si>
    <t>Net Capital</t>
  </si>
  <si>
    <t>Present value - distress costs</t>
  </si>
  <si>
    <t>Present value - tax shield</t>
  </si>
  <si>
    <t>Levered value</t>
  </si>
  <si>
    <t>Implied share price ($)</t>
  </si>
  <si>
    <t>Share price ($)</t>
  </si>
  <si>
    <t>EPS-diluted ($)</t>
  </si>
  <si>
    <t>Adjusted EPS-diluted ($)</t>
  </si>
  <si>
    <t>Market Equity value</t>
  </si>
  <si>
    <r>
      <rPr>
        <sz val="20"/>
        <color theme="4" tint="-0.249977111117893"/>
        <rFont val="Helvetica Neue Medium"/>
      </rPr>
      <t xml:space="preserve">Bed, Bath &amp; </t>
    </r>
    <r>
      <rPr>
        <sz val="20"/>
        <color theme="4" tint="-0.249977111117893"/>
        <rFont val="Helvetica Neue Bold"/>
      </rPr>
      <t>Beyond</t>
    </r>
  </si>
  <si>
    <t>Metric</t>
  </si>
  <si>
    <t>Status Quo (2004)</t>
  </si>
  <si>
    <t>Scenario B (Risky)</t>
  </si>
  <si>
    <t>Scenario A (Recommended)</t>
  </si>
  <si>
    <t>Tax shield</t>
  </si>
  <si>
    <t>Value added</t>
  </si>
  <si>
    <t>Helper tables</t>
  </si>
  <si>
    <t>Notes</t>
  </si>
  <si>
    <t>Capital Structure recommendation summary</t>
  </si>
  <si>
    <t>Financial analysis summary</t>
  </si>
  <si>
    <t>Class info</t>
  </si>
  <si>
    <t>Professor</t>
  </si>
  <si>
    <t>Semester</t>
  </si>
  <si>
    <t>Group info</t>
  </si>
  <si>
    <t>Class</t>
  </si>
  <si>
    <t>Dr. Bharadwaj Kannan</t>
  </si>
  <si>
    <t>Spring 2026</t>
  </si>
  <si>
    <t>FIN 871</t>
  </si>
  <si>
    <t>Thor Skogum</t>
  </si>
  <si>
    <t>Dionysis Petratos</t>
  </si>
  <si>
    <t>Zachary Nickolas</t>
  </si>
  <si>
    <t>Shubh Savani</t>
  </si>
  <si>
    <t>Ryan Tarapchak</t>
  </si>
  <si>
    <t>Student name</t>
  </si>
  <si>
    <t>Given case scenarios</t>
  </si>
  <si>
    <t>Exhibit 7A: Based on total D/V assumed  in (1)</t>
  </si>
  <si>
    <t>Exhibit 9: Average rate based on credit rating in (2)</t>
  </si>
  <si>
    <t>Exhibit 7A: Average default rates based on credit rating in (2)</t>
  </si>
  <si>
    <t>Given in case study</t>
  </si>
  <si>
    <t>Exhibit 8: Assumed tax rate given</t>
  </si>
  <si>
    <t>Gemini AI : Average direct + indirect costs for distressed retail company</t>
  </si>
  <si>
    <t>Risk free rate (10-yr T.Bond)</t>
  </si>
  <si>
    <t>Exhibit 9: Ten year Treasury bond</t>
  </si>
  <si>
    <t>Exhibit 8: Calculated based on interest income &amp; cash data</t>
  </si>
  <si>
    <t>Exhibit 7A &amp; 9</t>
  </si>
  <si>
    <t>Sales growth = (Current yr sales / past yr sales) - 1</t>
  </si>
  <si>
    <t>Earnings growth = (Current yr earnings / past yr earnings) - 1</t>
  </si>
  <si>
    <t>EPS growth = (Current yr EPS / past yr EPS) - 1</t>
  </si>
  <si>
    <t>Net margin = Net income / Sales</t>
  </si>
  <si>
    <t>Operating margin = Operating profit / Sales</t>
  </si>
  <si>
    <t>Gross margin = Gross profit / Sales</t>
  </si>
  <si>
    <t>ROA = Net income / Average total assets of current &amp; past yr</t>
  </si>
  <si>
    <t>ROE = Net income / Average shareholders' equity of current and past yr</t>
  </si>
  <si>
    <t>Current ratio = Current assets / Current liabilities</t>
  </si>
  <si>
    <t>Cash ratio = Total cash / Total liabilities</t>
  </si>
  <si>
    <t>Inventory turnover = COGS / Inventory</t>
  </si>
  <si>
    <t>Trend</t>
  </si>
  <si>
    <t>Flattening</t>
  </si>
  <si>
    <t>Increasing</t>
  </si>
  <si>
    <t>Sharp increase</t>
  </si>
  <si>
    <t>Declining</t>
  </si>
  <si>
    <t>n/a</t>
  </si>
  <si>
    <r>
      <rPr>
        <sz val="14"/>
        <color theme="4"/>
        <rFont val="Helvetica Neue Medium"/>
      </rPr>
      <t>Recommendation: Adopt 40% Debt Recapitalization</t>
    </r>
    <r>
      <rPr>
        <sz val="12"/>
        <color theme="4"/>
        <rFont val="HelveticaNeue"/>
        <family val="2"/>
      </rPr>
      <t xml:space="preserve">
We recommend distributing $400M in excess cash and issuing $636M in debt (40% Debt-to-Capital) to repurchase shares.
    - Unlocks Shareholder Value: Increases the implied share price from $37.00 to $37.74 by capturing the Interest Tax Shield.
    - Optimizes Efficiency: Improves ROE from 20.1% to 39.2% without compromising operational flexibility.
    - Maintains Financial Safety: Preserves an Investment Grade "A" Credit Rating (1.82% default probability), balancing growth with stability.
    - Rejects 80% Option: While the 80% scenario maximizes EPS, it destroys firm value (Price drops to $35.11) due to the excessive distress costs of a "Junk" (B) credit rating.</t>
    </r>
  </si>
  <si>
    <t>Executive Summary</t>
  </si>
  <si>
    <t>Despite strong growth and margin expansion (+250bps), shareholder returns have decoupled from performance. ROE dropped to 20.1% as the Current Ratio ballooned to 2.56x, signaling urgent need to return 'lazy capital' to shareholders.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</si>
</sst>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yyyy"/>
    <numFmt numFmtId="165" formatCode="0.0%"/>
    <numFmt numFmtId="166" formatCode="0.0"/>
    <numFmt numFmtId="167" formatCode="0\)"/>
  </numFmts>
  <fonts count="16">
    <font>
      <sz val="12"/>
      <color theme="1"/>
      <name val="HelveticaNeue"/>
      <family val="2"/>
    </font>
    <font>
      <sz val="12"/>
      <color theme="1"/>
      <name val="HelveticaNeue"/>
      <family val="2"/>
    </font>
    <font>
      <i/>
      <sz val="12"/>
      <color theme="1"/>
      <name val="HelveticaNeue"/>
    </font>
    <font>
      <sz val="12"/>
      <color theme="4"/>
      <name val="HelveticaNeue"/>
      <family val="2"/>
    </font>
    <font>
      <sz val="16"/>
      <color theme="1"/>
      <name val="Helvetica Neue Medium"/>
    </font>
    <font>
      <sz val="13"/>
      <color theme="1"/>
      <name val="Helvetica Neue Medium"/>
    </font>
    <font>
      <u val="singleAccounting"/>
      <sz val="12"/>
      <color theme="1"/>
      <name val="HelveticaNeue"/>
      <family val="2"/>
    </font>
    <font>
      <u val="singleAccounting"/>
      <sz val="12"/>
      <color theme="4"/>
      <name val="HelveticaNeue"/>
      <family val="2"/>
    </font>
    <font>
      <sz val="12"/>
      <color theme="1"/>
      <name val="HelveticaNeue"/>
    </font>
    <font>
      <sz val="12"/>
      <color theme="1"/>
      <name val="Helvetica Neue Medium"/>
    </font>
    <font>
      <sz val="20"/>
      <color theme="4" tint="-0.249977111117893"/>
      <name val="Helvetica Neue Bold"/>
    </font>
    <font>
      <sz val="20"/>
      <color theme="4" tint="-0.249977111117893"/>
      <name val="Helvetica Neue Medium"/>
    </font>
    <font>
      <sz val="13"/>
      <color theme="3" tint="0.249977111117893"/>
      <name val="Helvetica Neue Medium"/>
    </font>
    <font>
      <i/>
      <sz val="10"/>
      <color theme="1" tint="0.499984740745262"/>
      <name val="HelveticaNeue"/>
    </font>
    <font>
      <sz val="14"/>
      <color theme="4"/>
      <name val="Helvetica Neue Medium"/>
    </font>
    <font>
      <b/>
      <sz val="14"/>
      <color theme="1"/>
      <name val="HelveticaNeue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D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0" fillId="2" borderId="0" xfId="0" applyFill="1"/>
    <xf numFmtId="2" fontId="0" fillId="0" borderId="0" xfId="0" applyNumberFormat="1"/>
    <xf numFmtId="41" fontId="3" fillId="0" borderId="0" xfId="1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41" fontId="3" fillId="0" borderId="0" xfId="1" applyNumberFormat="1" applyFont="1" applyAlignment="1">
      <alignment horizontal="right" vertical="center"/>
    </xf>
    <xf numFmtId="164" fontId="0" fillId="0" borderId="2" xfId="0" applyNumberFormat="1" applyBorder="1" applyAlignment="1">
      <alignment horizontal="center" vertical="center"/>
    </xf>
    <xf numFmtId="0" fontId="4" fillId="0" borderId="0" xfId="0" applyFont="1"/>
    <xf numFmtId="2" fontId="3" fillId="0" borderId="0" xfId="0" applyNumberFormat="1" applyFont="1" applyAlignment="1">
      <alignment vertical="center"/>
    </xf>
    <xf numFmtId="41" fontId="0" fillId="0" borderId="0" xfId="0" applyNumberForma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41" fontId="3" fillId="0" borderId="0" xfId="1" applyNumberFormat="1" applyFont="1" applyBorder="1" applyAlignment="1">
      <alignment vertical="center"/>
    </xf>
    <xf numFmtId="0" fontId="0" fillId="3" borderId="3" xfId="0" applyFill="1" applyBorder="1"/>
    <xf numFmtId="164" fontId="0" fillId="3" borderId="3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43" fontId="0" fillId="0" borderId="0" xfId="0" applyNumberFormat="1"/>
    <xf numFmtId="10" fontId="0" fillId="0" borderId="0" xfId="0" applyNumberFormat="1"/>
    <xf numFmtId="10" fontId="3" fillId="0" borderId="0" xfId="0" applyNumberFormat="1" applyFont="1" applyAlignment="1">
      <alignment horizontal="right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6" fontId="3" fillId="0" borderId="0" xfId="0" applyNumberFormat="1" applyFont="1" applyAlignment="1">
      <alignment horizontal="right"/>
    </xf>
    <xf numFmtId="9" fontId="0" fillId="0" borderId="0" xfId="0" applyNumberFormat="1"/>
    <xf numFmtId="9" fontId="3" fillId="0" borderId="1" xfId="0" applyNumberFormat="1" applyFont="1" applyBorder="1"/>
    <xf numFmtId="9" fontId="3" fillId="0" borderId="5" xfId="0" applyNumberFormat="1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0" fontId="3" fillId="0" borderId="0" xfId="0" applyNumberFormat="1" applyFont="1"/>
    <xf numFmtId="10" fontId="3" fillId="0" borderId="7" xfId="0" applyNumberFormat="1" applyFont="1" applyBorder="1"/>
    <xf numFmtId="10" fontId="3" fillId="0" borderId="8" xfId="0" applyNumberFormat="1" applyFont="1" applyBorder="1"/>
    <xf numFmtId="10" fontId="3" fillId="0" borderId="2" xfId="0" applyNumberFormat="1" applyFont="1" applyBorder="1"/>
    <xf numFmtId="10" fontId="3" fillId="0" borderId="9" xfId="0" applyNumberFormat="1" applyFont="1" applyBorder="1"/>
    <xf numFmtId="164" fontId="0" fillId="3" borderId="3" xfId="0" applyNumberFormat="1" applyFill="1" applyBorder="1" applyAlignment="1">
      <alignment horizontal="left" vertical="center"/>
    </xf>
    <xf numFmtId="165" fontId="0" fillId="0" borderId="0" xfId="2" applyNumberFormat="1" applyFont="1"/>
    <xf numFmtId="0" fontId="2" fillId="0" borderId="2" xfId="0" applyFont="1" applyBorder="1"/>
    <xf numFmtId="0" fontId="0" fillId="0" borderId="2" xfId="0" applyBorder="1"/>
    <xf numFmtId="9" fontId="3" fillId="0" borderId="4" xfId="2" applyFont="1" applyBorder="1"/>
    <xf numFmtId="41" fontId="6" fillId="0" borderId="0" xfId="0" applyNumberFormat="1" applyFont="1"/>
    <xf numFmtId="41" fontId="0" fillId="0" borderId="0" xfId="1" applyNumberFormat="1" applyFont="1"/>
    <xf numFmtId="41" fontId="7" fillId="0" borderId="0" xfId="1" applyNumberFormat="1" applyFont="1" applyAlignment="1">
      <alignment vertical="center"/>
    </xf>
    <xf numFmtId="41" fontId="0" fillId="2" borderId="0" xfId="0" applyNumberFormat="1" applyFill="1"/>
    <xf numFmtId="9" fontId="3" fillId="0" borderId="6" xfId="2" applyFont="1" applyBorder="1"/>
    <xf numFmtId="0" fontId="8" fillId="0" borderId="0" xfId="0" applyFont="1"/>
    <xf numFmtId="165" fontId="0" fillId="0" borderId="0" xfId="0" applyNumberFormat="1"/>
    <xf numFmtId="1" fontId="0" fillId="0" borderId="0" xfId="0" applyNumberFormat="1"/>
    <xf numFmtId="0" fontId="0" fillId="4" borderId="0" xfId="0" applyFill="1"/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5" fontId="0" fillId="4" borderId="0" xfId="2" applyNumberFormat="1" applyFont="1" applyFill="1"/>
    <xf numFmtId="41" fontId="9" fillId="4" borderId="0" xfId="0" applyNumberFormat="1" applyFont="1" applyFill="1"/>
    <xf numFmtId="165" fontId="9" fillId="4" borderId="0" xfId="2" applyNumberFormat="1" applyFont="1" applyFill="1"/>
    <xf numFmtId="0" fontId="10" fillId="0" borderId="0" xfId="0" applyFont="1"/>
    <xf numFmtId="0" fontId="0" fillId="0" borderId="10" xfId="0" applyBorder="1"/>
    <xf numFmtId="0" fontId="12" fillId="0" borderId="10" xfId="0" applyFont="1" applyBorder="1"/>
    <xf numFmtId="16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" fontId="0" fillId="4" borderId="0" xfId="0" applyNumberFormat="1" applyFill="1"/>
    <xf numFmtId="0" fontId="0" fillId="0" borderId="0" xfId="0" applyAlignment="1">
      <alignment horizontal="right"/>
    </xf>
    <xf numFmtId="0" fontId="0" fillId="5" borderId="0" xfId="0" applyFill="1"/>
    <xf numFmtId="1" fontId="0" fillId="5" borderId="0" xfId="0" applyNumberFormat="1" applyFill="1"/>
    <xf numFmtId="0" fontId="0" fillId="5" borderId="0" xfId="0" applyFill="1" applyAlignment="1">
      <alignment horizontal="right"/>
    </xf>
    <xf numFmtId="2" fontId="0" fillId="5" borderId="0" xfId="0" applyNumberFormat="1" applyFill="1"/>
    <xf numFmtId="10" fontId="0" fillId="5" borderId="0" xfId="0" applyNumberFormat="1" applyFill="1"/>
    <xf numFmtId="41" fontId="0" fillId="5" borderId="0" xfId="0" applyNumberFormat="1" applyFill="1"/>
    <xf numFmtId="165" fontId="0" fillId="5" borderId="0" xfId="2" applyNumberFormat="1" applyFont="1" applyFill="1"/>
    <xf numFmtId="0" fontId="13" fillId="0" borderId="0" xfId="0" applyFont="1" applyAlignment="1">
      <alignment horizontal="center" vertical="top"/>
    </xf>
    <xf numFmtId="0" fontId="13" fillId="5" borderId="0" xfId="0" applyFont="1" applyFill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1" fontId="0" fillId="0" borderId="7" xfId="0" applyNumberFormat="1" applyBorder="1"/>
    <xf numFmtId="0" fontId="0" fillId="0" borderId="7" xfId="0" applyBorder="1" applyAlignment="1">
      <alignment horizontal="right"/>
    </xf>
    <xf numFmtId="2" fontId="0" fillId="0" borderId="7" xfId="0" applyNumberFormat="1" applyBorder="1"/>
    <xf numFmtId="10" fontId="0" fillId="0" borderId="7" xfId="0" applyNumberFormat="1" applyBorder="1"/>
    <xf numFmtId="41" fontId="0" fillId="0" borderId="7" xfId="0" applyNumberFormat="1" applyBorder="1"/>
    <xf numFmtId="165" fontId="0" fillId="0" borderId="7" xfId="2" applyNumberFormat="1" applyFont="1" applyBorder="1"/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/>
    <xf numFmtId="164" fontId="0" fillId="3" borderId="2" xfId="0" applyNumberFormat="1" applyFill="1" applyBorder="1"/>
    <xf numFmtId="0" fontId="0" fillId="3" borderId="0" xfId="0" applyFill="1"/>
    <xf numFmtId="164" fontId="0" fillId="3" borderId="0" xfId="0" applyNumberFormat="1" applyFill="1"/>
    <xf numFmtId="0" fontId="2" fillId="0" borderId="4" xfId="0" applyFont="1" applyBorder="1"/>
    <xf numFmtId="0" fontId="2" fillId="0" borderId="1" xfId="0" applyFont="1" applyBorder="1"/>
    <xf numFmtId="167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horizontal="right"/>
    </xf>
    <xf numFmtId="167" fontId="0" fillId="0" borderId="0" xfId="0" applyNumberFormat="1" applyAlignment="1">
      <alignment vertical="center"/>
    </xf>
    <xf numFmtId="165" fontId="0" fillId="0" borderId="6" xfId="2" applyNumberFormat="1" applyFont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41" fontId="0" fillId="0" borderId="0" xfId="0" applyNumberFormat="1" applyAlignment="1">
      <alignment horizontal="right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5" fillId="0" borderId="2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DD9"/>
      <color rgb="FFA400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defRPr>
            </a:pPr>
            <a:r>
              <a:rPr lang="en-US" b="1" i="0" u="none"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rPr>
              <a:t>Operational Efficiency vs Capital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Summary'!$XEV$8</c:f>
              <c:strCache>
                <c:ptCount val="1"/>
                <c:pt idx="0">
                  <c:v>Operating margins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'Executive Summary'!$XEW$4:$XEY$4</c:f>
              <c:numCache>
                <c:formatCode>yyyy</c:formatCode>
                <c:ptCount val="3"/>
                <c:pt idx="0">
                  <c:v>38164</c:v>
                </c:pt>
                <c:pt idx="1">
                  <c:v>37797</c:v>
                </c:pt>
                <c:pt idx="2">
                  <c:v>37431</c:v>
                </c:pt>
              </c:numCache>
            </c:numRef>
          </c:cat>
          <c:val>
            <c:numRef>
              <c:f>'Executive Summary'!$XEW$8:$XEY$8</c:f>
              <c:numCache>
                <c:formatCode>0.0%</c:formatCode>
                <c:ptCount val="3"/>
                <c:pt idx="0">
                  <c:v>0.14277483535548721</c:v>
                </c:pt>
                <c:pt idx="1">
                  <c:v>0.13097831365799731</c:v>
                </c:pt>
                <c:pt idx="2">
                  <c:v>0.11820508599496851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8-924B-9C9B-75F261B8F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839862592"/>
        <c:axId val="1891627712"/>
      </c:barChart>
      <c:lineChart>
        <c:grouping val="standard"/>
        <c:varyColors val="0"/>
        <c:ser>
          <c:idx val="1"/>
          <c:order val="1"/>
          <c:tx>
            <c:strRef>
              <c:f>'Executive Summary'!$XEV$9</c:f>
              <c:strCache>
                <c:ptCount val="1"/>
                <c:pt idx="0">
                  <c:v>Return on Equity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'Executive Summary'!$XEW$9:$XEY$9</c:f>
              <c:numCache>
                <c:formatCode>0.0%</c:formatCode>
                <c:ptCount val="3"/>
                <c:pt idx="0">
                  <c:v>0.20065601109090728</c:v>
                </c:pt>
                <c:pt idx="1">
                  <c:v>0.23735022705752845</c:v>
                </c:pt>
                <c:pt idx="2">
                  <c:v>0.2297820199982421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8-924B-9C9B-75F261B8F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217344"/>
        <c:axId val="1341214656"/>
      </c:lineChart>
      <c:dateAx>
        <c:axId val="1839862592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+mn-cs"/>
              </a:defRPr>
            </a:pPr>
            <a:endParaRPr lang="en-US"/>
          </a:p>
        </c:txPr>
        <c:crossAx val="1891627712"/>
        <c:crosses val="autoZero"/>
        <c:auto val="1"/>
        <c:lblOffset val="100"/>
        <c:baseTimeUnit val="years"/>
      </c:dateAx>
      <c:valAx>
        <c:axId val="189162771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+mn-cs"/>
              </a:defRPr>
            </a:pPr>
            <a:endParaRPr lang="en-US"/>
          </a:p>
        </c:txPr>
        <c:crossAx val="1839862592"/>
        <c:crosses val="autoZero"/>
        <c:crossBetween val="between"/>
        <c:majorUnit val="0.04"/>
      </c:valAx>
      <c:valAx>
        <c:axId val="134121465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+mn-cs"/>
              </a:defRPr>
            </a:pPr>
            <a:endParaRPr lang="en-US"/>
          </a:p>
        </c:txPr>
        <c:crossAx val="1341217344"/>
        <c:crosses val="max"/>
        <c:crossBetween val="between"/>
        <c:majorUnit val="0.02"/>
      </c:valAx>
      <c:catAx>
        <c:axId val="13412173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34121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1" u="none" strike="noStrike" kern="1200" baseline="0">
              <a:solidFill>
                <a:schemeClr val="tx2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Value Creation - Scenario A (40% D/V)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 i="0"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defRPr>
          </a:pPr>
          <a:r>
            <a:rPr lang="en-US" sz="1600" b="1" i="0" u="none" strike="noStrike" baseline="0">
              <a:solidFill>
                <a:srgbClr val="0E284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Value Creation - Scenario A (40% D/V)</a:t>
          </a:r>
        </a:p>
      </cx:txPr>
    </cx:title>
    <cx:plotArea>
      <cx:plotAreaRegion>
        <cx:series layoutId="waterfall" uniqueId="{8CC4FEA2-7822-7043-9F46-0A5FF4404B95}" formatIdx="0">
          <cx:dataPt idx="0">
            <cx:spPr>
              <a:solidFill>
                <a:srgbClr val="156082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A40023"/>
              </a:solidFill>
            </cx:spPr>
          </cx:dataPt>
          <cx:dataPt idx="2">
            <cx:spPr>
              <a:solidFill>
                <a:srgbClr val="4EA72E">
                  <a:lumMod val="75000"/>
                </a:srgbClr>
              </a:solidFill>
            </cx:spPr>
          </cx:dataPt>
          <cx:dataId val="0"/>
          <cx:layoutPr>
            <cx:visibility connectorLines="0"/>
            <cx:subtotals>
              <cx:idx val="2"/>
            </cx:subtotals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 i="1">
                <a:latin typeface="Helvetica Neue Light" panose="02000403000000020004" pitchFamily="2" charset="0"/>
                <a:ea typeface="Helvetica Neue Light" panose="02000403000000020004" pitchFamily="2" charset="0"/>
                <a:cs typeface="Helvetica Neue Light" panose="02000403000000020004" pitchFamily="2" charset="0"/>
              </a:defRPr>
            </a:pPr>
            <a:endParaRPr lang="en-US" sz="900" b="0" i="1" u="none" strike="noStrike" baseline="0">
              <a:solidFill>
                <a:srgbClr val="0E2841"/>
              </a:solidFill>
              <a:latin typeface="Helvetica Neue Light" panose="02000403000000020004" pitchFamily="2" charset="0"/>
              <a:ea typeface="Helvetica Neue Light" panose="02000403000000020004" pitchFamily="2" charset="0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 i="0">
                <a:latin typeface="Helvetica Neue Light" panose="02000403000000020004" pitchFamily="2" charset="0"/>
                <a:ea typeface="Helvetica Neue Light" panose="02000403000000020004" pitchFamily="2" charset="0"/>
                <a:cs typeface="Helvetica Neue Light" panose="02000403000000020004" pitchFamily="2" charset="0"/>
              </a:defRPr>
            </a:pPr>
            <a:endParaRPr lang="en-US" sz="900" b="0" i="0" u="none" strike="noStrike" baseline="0">
              <a:solidFill>
                <a:srgbClr val="0E2841"/>
              </a:solidFill>
              <a:latin typeface="Helvetica Neue Light" panose="02000403000000020004" pitchFamily="2" charset="0"/>
              <a:ea typeface="Helvetica Neue Light" panose="02000403000000020004" pitchFamily="2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Value Creation - Scenario B (80% D/V)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 i="0"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defRPr>
          </a:pPr>
          <a:r>
            <a:rPr lang="en-US" sz="1600" b="1" i="0" u="none" strike="noStrike" baseline="0">
              <a:solidFill>
                <a:srgbClr val="0E284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Value Creation - Scenario B (80% D/V)</a:t>
          </a:r>
        </a:p>
      </cx:txPr>
    </cx:title>
    <cx:plotArea>
      <cx:plotAreaRegion>
        <cx:series layoutId="waterfall" uniqueId="{8CC4FEA2-7822-7043-9F46-0A5FF4404B95}" formatIdx="0">
          <cx:dataPt idx="0">
            <cx:spPr>
              <a:solidFill>
                <a:srgbClr val="156082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A40023"/>
              </a:solidFill>
            </cx:spPr>
          </cx:dataPt>
          <cx:dataPt idx="2">
            <cx:spPr>
              <a:solidFill>
                <a:srgbClr val="E97132">
                  <a:lumMod val="75000"/>
                </a:srgbClr>
              </a:solidFill>
            </cx:spPr>
          </cx:dataPt>
          <cx:dataId val="0"/>
          <cx:layoutPr>
            <cx:visibility connectorLines="0"/>
            <cx:subtotals>
              <cx:idx val="2"/>
            </cx:subtotals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 i="1">
                <a:latin typeface="Helvetica Neue Light" panose="02000403000000020004" pitchFamily="2" charset="0"/>
                <a:ea typeface="Helvetica Neue Light" panose="02000403000000020004" pitchFamily="2" charset="0"/>
                <a:cs typeface="Helvetica Neue Light" panose="02000403000000020004" pitchFamily="2" charset="0"/>
              </a:defRPr>
            </a:pPr>
            <a:endParaRPr lang="en-US" sz="900" b="0" i="1" u="none" strike="noStrike" baseline="0">
              <a:solidFill>
                <a:srgbClr val="0E2841"/>
              </a:solidFill>
              <a:latin typeface="Helvetica Neue Light" panose="02000403000000020004" pitchFamily="2" charset="0"/>
              <a:ea typeface="Helvetica Neue Light" panose="02000403000000020004" pitchFamily="2" charset="0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 i="0">
                <a:latin typeface="Helvetica Neue Light" panose="02000403000000020004" pitchFamily="2" charset="0"/>
                <a:ea typeface="Helvetica Neue Light" panose="02000403000000020004" pitchFamily="2" charset="0"/>
                <a:cs typeface="Helvetica Neue Light" panose="02000403000000020004" pitchFamily="2" charset="0"/>
              </a:defRPr>
            </a:pPr>
            <a:endParaRPr lang="en-US" sz="900" b="0" i="0" u="none" strike="noStrike" baseline="0">
              <a:solidFill>
                <a:srgbClr val="0E2841"/>
              </a:solidFill>
              <a:latin typeface="Helvetica Neue Light" panose="02000403000000020004" pitchFamily="2" charset="0"/>
              <a:ea typeface="Helvetica Neue Light" panose="02000403000000020004" pitchFamily="2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7</xdr:col>
      <xdr:colOff>0</xdr:colOff>
      <xdr:row>27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6573B-336B-28AB-E9D8-49FB5406C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64</xdr:row>
      <xdr:rowOff>12700</xdr:rowOff>
    </xdr:from>
    <xdr:to>
      <xdr:col>7</xdr:col>
      <xdr:colOff>0</xdr:colOff>
      <xdr:row>81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B675560-941D-FC4C-22FF-DCB0FD1C0A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00" y="13335000"/>
              <a:ext cx="6083300" cy="35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82</xdr:row>
      <xdr:rowOff>114300</xdr:rowOff>
    </xdr:from>
    <xdr:to>
      <xdr:col>7</xdr:col>
      <xdr:colOff>0</xdr:colOff>
      <xdr:row>100</xdr:row>
      <xdr:rowOff>11276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9FA92BF-F3AD-AF4B-BD7D-E0C9F94ECD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00" y="17094200"/>
              <a:ext cx="6083300" cy="3554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BCE3-0F92-BB45-9CB3-41846F3DB615}">
  <sheetPr>
    <tabColor theme="4" tint="0.79998168889431442"/>
  </sheetPr>
  <dimension ref="B2:XEY66"/>
  <sheetViews>
    <sheetView showGridLines="0" tabSelected="1" workbookViewId="0">
      <pane ySplit="6" topLeftCell="A7" activePane="bottomLeft" state="frozen"/>
      <selection pane="bottomLeft" activeCell="K17" sqref="K17"/>
    </sheetView>
  </sheetViews>
  <sheetFormatPr baseColWidth="10" defaultRowHeight="16"/>
  <cols>
    <col min="1" max="1" width="2.7109375" customWidth="1"/>
    <col min="2" max="2" width="5.7109375" customWidth="1"/>
    <col min="3" max="5" width="13.7109375" customWidth="1"/>
    <col min="6" max="6" width="13.5703125" customWidth="1"/>
    <col min="7" max="7" width="13.7109375" customWidth="1"/>
    <col min="8" max="8" width="10.7109375" customWidth="1"/>
    <col min="9" max="9" width="14.7109375" customWidth="1"/>
    <col min="10" max="10" width="10.7109375" customWidth="1"/>
    <col min="11" max="11" width="15.7109375" customWidth="1"/>
    <col min="12" max="12" width="14.7109375" customWidth="1"/>
    <col min="13" max="13" width="14.42578125" bestFit="1" customWidth="1"/>
    <col min="14" max="14" width="13.140625" bestFit="1" customWidth="1"/>
    <col min="23" max="24" width="10.5703125" customWidth="1"/>
    <col min="25" max="26" width="10.7109375" customWidth="1"/>
    <col min="16376" max="16376" width="16" bestFit="1" customWidth="1"/>
  </cols>
  <sheetData>
    <row r="2" spans="2:28 16376:16379" ht="25">
      <c r="B2" s="57" t="s">
        <v>97</v>
      </c>
      <c r="I2" s="95" t="s">
        <v>108</v>
      </c>
      <c r="J2" s="61"/>
      <c r="K2" s="61"/>
      <c r="L2" s="96" t="s">
        <v>111</v>
      </c>
      <c r="M2" s="61"/>
      <c r="N2" s="62"/>
    </row>
    <row r="3" spans="2:28 16376:16379" ht="18" thickBot="1">
      <c r="B3" s="59" t="s">
        <v>151</v>
      </c>
      <c r="C3" s="58"/>
      <c r="D3" s="58"/>
      <c r="E3" s="58"/>
      <c r="I3" s="63" t="s">
        <v>109</v>
      </c>
      <c r="J3" t="s">
        <v>113</v>
      </c>
      <c r="L3" t="s">
        <v>121</v>
      </c>
      <c r="M3" t="s">
        <v>118</v>
      </c>
      <c r="N3" s="64" t="s">
        <v>116</v>
      </c>
    </row>
    <row r="4" spans="2:28 16376:16379">
      <c r="I4" s="63" t="s">
        <v>110</v>
      </c>
      <c r="J4" t="s">
        <v>114</v>
      </c>
      <c r="M4" t="s">
        <v>117</v>
      </c>
      <c r="N4" s="64" t="s">
        <v>120</v>
      </c>
      <c r="XEV4" s="91" t="s">
        <v>104</v>
      </c>
      <c r="XEW4" s="92">
        <v>38164</v>
      </c>
      <c r="XEX4" s="92">
        <v>37797</v>
      </c>
      <c r="XEY4" s="92">
        <v>37431</v>
      </c>
    </row>
    <row r="5" spans="2:28 16376:16379">
      <c r="I5" s="65" t="s">
        <v>112</v>
      </c>
      <c r="J5" s="41" t="s">
        <v>115</v>
      </c>
      <c r="K5" s="41"/>
      <c r="L5" s="41"/>
      <c r="M5" s="41" t="s">
        <v>119</v>
      </c>
      <c r="N5" s="66"/>
      <c r="XEV5" s="93"/>
      <c r="XEW5" s="94"/>
      <c r="XEX5" s="94"/>
      <c r="XEY5" s="94"/>
    </row>
    <row r="8" spans="2:28 16376:16379" ht="18">
      <c r="C8" s="108" t="s">
        <v>107</v>
      </c>
      <c r="D8" s="41"/>
      <c r="E8" s="41"/>
      <c r="AA8" s="60"/>
      <c r="AB8" s="60"/>
      <c r="XEV8" t="str">
        <f>'Historical Analysis'!C15</f>
        <v>Operating margins</v>
      </c>
      <c r="XEW8" s="39" cm="1">
        <f t="array" ref="XEW8:XEY8">'Historical Analysis'!E15:G15</f>
        <v>0.14277483535548721</v>
      </c>
      <c r="XEX8" s="39">
        <v>0.13097831365799731</v>
      </c>
      <c r="XEY8" s="39">
        <v>0.11820508599496851</v>
      </c>
    </row>
    <row r="9" spans="2:28 16376:16379">
      <c r="XEV9" t="str">
        <f>'Historical Analysis'!C19</f>
        <v>Return on Equity</v>
      </c>
      <c r="XEW9" s="39" cm="1">
        <f t="array" ref="XEW9:XEY9">'Historical Analysis'!E19:G19</f>
        <v>0.20065601109090728</v>
      </c>
      <c r="XEX9" s="39">
        <v>0.23735022705752845</v>
      </c>
      <c r="XEY9" s="39">
        <v>0.2297820199982421</v>
      </c>
    </row>
    <row r="11" spans="2:28 16376:16379">
      <c r="XEV11" t="s">
        <v>102</v>
      </c>
      <c r="XEW11" s="12">
        <f>'Scenario Analysis'!F44</f>
        <v>244986.28</v>
      </c>
      <c r="XEX11" s="12">
        <f>'Scenario Analysis'!G44</f>
        <v>489972.56</v>
      </c>
    </row>
    <row r="12" spans="2:28 16376:16379">
      <c r="XEV12" t="s">
        <v>41</v>
      </c>
      <c r="XEW12" s="12">
        <f>'Scenario Analysis'!F47</f>
        <v>39470.9139</v>
      </c>
      <c r="XEX12" s="12">
        <f>'Scenario Analysis'!G47</f>
        <v>980139.99419999996</v>
      </c>
    </row>
    <row r="13" spans="2:28 16376:16379">
      <c r="XEV13" t="s">
        <v>103</v>
      </c>
      <c r="XEW13" s="12">
        <f>XEW11-XEW12</f>
        <v>205515.36609999998</v>
      </c>
      <c r="XEX13" s="12">
        <f>XEX11-XEX12</f>
        <v>-490167.43419999996</v>
      </c>
    </row>
    <row r="29" spans="3:8" ht="16" customHeight="1">
      <c r="C29" s="107" t="s">
        <v>152</v>
      </c>
      <c r="D29" s="107"/>
      <c r="E29" s="107"/>
      <c r="F29" s="107"/>
      <c r="G29" s="107"/>
      <c r="H29" s="67"/>
    </row>
    <row r="30" spans="3:8">
      <c r="C30" s="107"/>
      <c r="D30" s="107"/>
      <c r="E30" s="107"/>
      <c r="F30" s="107"/>
      <c r="G30" s="107"/>
      <c r="H30" s="67"/>
    </row>
    <row r="31" spans="3:8">
      <c r="C31" s="107"/>
      <c r="D31" s="107"/>
      <c r="E31" s="107"/>
      <c r="F31" s="107"/>
      <c r="G31" s="107"/>
      <c r="H31" s="67"/>
    </row>
    <row r="32" spans="3:8">
      <c r="C32" s="107"/>
      <c r="D32" s="107"/>
      <c r="E32" s="107"/>
      <c r="F32" s="107"/>
      <c r="G32" s="107"/>
      <c r="H32" s="67"/>
    </row>
    <row r="34" spans="3:7" ht="18">
      <c r="C34" s="108" t="s">
        <v>106</v>
      </c>
      <c r="D34" s="41"/>
      <c r="E34" s="41"/>
    </row>
    <row r="36" spans="3:7" ht="30" customHeight="1">
      <c r="C36" s="87" t="s">
        <v>98</v>
      </c>
      <c r="D36" s="41"/>
      <c r="E36" s="88" t="s">
        <v>99</v>
      </c>
      <c r="F36" s="89" t="s">
        <v>101</v>
      </c>
      <c r="G36" s="90" t="s">
        <v>100</v>
      </c>
    </row>
    <row r="37" spans="3:7">
      <c r="E37" s="80"/>
      <c r="F37" s="79"/>
      <c r="G37" s="78"/>
    </row>
    <row r="38" spans="3:7">
      <c r="C38" t="str">
        <f>'Scenario Analysis'!B53</f>
        <v>Implied share price ($)</v>
      </c>
      <c r="E38" s="81">
        <f>'Scenario Analysis'!E53</f>
        <v>37</v>
      </c>
      <c r="F38" s="72">
        <f>'Scenario Analysis'!F53</f>
        <v>37.742787779873836</v>
      </c>
      <c r="G38" s="50">
        <f>'Scenario Analysis'!G53</f>
        <v>35.110984993095421</v>
      </c>
    </row>
    <row r="39" spans="3:7">
      <c r="C39" t="str">
        <f>Inputs!K11</f>
        <v>Average Credit Rating</v>
      </c>
      <c r="E39" s="82" t="str">
        <f>Inputs!M11</f>
        <v>AAA</v>
      </c>
      <c r="F39" s="73" t="str">
        <f>Inputs!N11</f>
        <v>A</v>
      </c>
      <c r="G39" s="70" t="str">
        <f>Inputs!O11</f>
        <v>B</v>
      </c>
    </row>
    <row r="40" spans="3:7">
      <c r="C40" t="str">
        <f>'Scenario Analysis'!B39</f>
        <v>Adjusted EPS-diluted ($)</v>
      </c>
      <c r="E40" s="83">
        <f>'Scenario Analysis'!E39</f>
        <v>1.3110708424956512</v>
      </c>
      <c r="F40" s="74">
        <f>'Scenario Analysis'!F39</f>
        <v>1.3539061826439327</v>
      </c>
      <c r="G40" s="2">
        <f>'Scenario Analysis'!G39</f>
        <v>1.268166267285753</v>
      </c>
    </row>
    <row r="41" spans="3:7">
      <c r="C41" t="str">
        <f>Inputs!K13</f>
        <v>Distress Probability</v>
      </c>
      <c r="E41" s="84">
        <f>Inputs!M13</f>
        <v>0</v>
      </c>
      <c r="F41" s="75">
        <f>Inputs!N13</f>
        <v>1.8149999999999999E-2</v>
      </c>
      <c r="G41" s="22">
        <f>Inputs!O13</f>
        <v>0.45069999999999999</v>
      </c>
    </row>
    <row r="42" spans="3:7">
      <c r="E42" s="64"/>
      <c r="F42" s="71"/>
    </row>
    <row r="43" spans="3:7">
      <c r="C43" t="str">
        <f>'Scenario Analysis'!B49</f>
        <v>Levered value</v>
      </c>
      <c r="E43" s="85">
        <f>'Scenario Analysis'!E49</f>
        <v>10873530</v>
      </c>
      <c r="F43" s="76">
        <f>'Scenario Analysis'!F49</f>
        <v>11079045.3661</v>
      </c>
      <c r="G43" s="12">
        <f>'Scenario Analysis'!G49</f>
        <v>10383362.5658</v>
      </c>
    </row>
    <row r="44" spans="3:7">
      <c r="C44" t="str">
        <f>'Scenario Analysis'!B50</f>
        <v>Return on Equity</v>
      </c>
      <c r="E44" s="86">
        <f>'Scenario Analysis'!E50</f>
        <v>0.20065609899438422</v>
      </c>
      <c r="F44" s="77">
        <f>'Scenario Analysis'!F50</f>
        <v>0.39246038676112627</v>
      </c>
      <c r="G44" s="39">
        <f>'Scenario Analysis'!G50</f>
        <v>1.0342706602833791</v>
      </c>
    </row>
    <row r="46" spans="3:7" ht="16" customHeight="1">
      <c r="C46" s="106" t="s">
        <v>150</v>
      </c>
      <c r="D46" s="106"/>
      <c r="E46" s="106"/>
      <c r="F46" s="106"/>
      <c r="G46" s="106"/>
    </row>
    <row r="47" spans="3:7">
      <c r="C47" s="106"/>
      <c r="D47" s="106"/>
      <c r="E47" s="106"/>
      <c r="F47" s="106"/>
      <c r="G47" s="106"/>
    </row>
    <row r="48" spans="3:7">
      <c r="C48" s="106"/>
      <c r="D48" s="106"/>
      <c r="E48" s="106"/>
      <c r="F48" s="106"/>
      <c r="G48" s="106"/>
    </row>
    <row r="49" spans="3:7">
      <c r="C49" s="106"/>
      <c r="D49" s="106"/>
      <c r="E49" s="106"/>
      <c r="F49" s="106"/>
      <c r="G49" s="106"/>
    </row>
    <row r="50" spans="3:7">
      <c r="C50" s="106"/>
      <c r="D50" s="106"/>
      <c r="E50" s="106"/>
      <c r="F50" s="106"/>
      <c r="G50" s="106"/>
    </row>
    <row r="51" spans="3:7">
      <c r="C51" s="106"/>
      <c r="D51" s="106"/>
      <c r="E51" s="106"/>
      <c r="F51" s="106"/>
      <c r="G51" s="106"/>
    </row>
    <row r="52" spans="3:7">
      <c r="C52" s="106"/>
      <c r="D52" s="106"/>
      <c r="E52" s="106"/>
      <c r="F52" s="106"/>
      <c r="G52" s="106"/>
    </row>
    <row r="53" spans="3:7">
      <c r="C53" s="106"/>
      <c r="D53" s="106"/>
      <c r="E53" s="106"/>
      <c r="F53" s="106"/>
      <c r="G53" s="106"/>
    </row>
    <row r="54" spans="3:7">
      <c r="C54" s="106"/>
      <c r="D54" s="106"/>
      <c r="E54" s="106"/>
      <c r="F54" s="106"/>
      <c r="G54" s="106"/>
    </row>
    <row r="55" spans="3:7">
      <c r="C55" s="106"/>
      <c r="D55" s="106"/>
      <c r="E55" s="106"/>
      <c r="F55" s="106"/>
      <c r="G55" s="106"/>
    </row>
    <row r="56" spans="3:7">
      <c r="C56" s="106"/>
      <c r="D56" s="106"/>
      <c r="E56" s="106"/>
      <c r="F56" s="106"/>
      <c r="G56" s="106"/>
    </row>
    <row r="57" spans="3:7">
      <c r="C57" s="106"/>
      <c r="D57" s="106"/>
      <c r="E57" s="106"/>
      <c r="F57" s="106"/>
      <c r="G57" s="106"/>
    </row>
    <row r="58" spans="3:7">
      <c r="C58" s="106"/>
      <c r="D58" s="106"/>
      <c r="E58" s="106"/>
      <c r="F58" s="106"/>
      <c r="G58" s="106"/>
    </row>
    <row r="59" spans="3:7">
      <c r="C59" s="106"/>
      <c r="D59" s="106"/>
      <c r="E59" s="106"/>
      <c r="F59" s="106"/>
      <c r="G59" s="106"/>
    </row>
    <row r="60" spans="3:7">
      <c r="C60" s="106"/>
      <c r="D60" s="106"/>
      <c r="E60" s="106"/>
      <c r="F60" s="106"/>
      <c r="G60" s="106"/>
    </row>
    <row r="61" spans="3:7">
      <c r="C61" s="106"/>
      <c r="D61" s="106"/>
      <c r="E61" s="106"/>
      <c r="F61" s="106"/>
      <c r="G61" s="106"/>
    </row>
    <row r="62" spans="3:7">
      <c r="C62" s="106"/>
      <c r="D62" s="106"/>
      <c r="E62" s="106"/>
      <c r="F62" s="106"/>
      <c r="G62" s="106"/>
    </row>
    <row r="63" spans="3:7">
      <c r="C63" s="106"/>
      <c r="D63" s="106"/>
      <c r="E63" s="106"/>
      <c r="F63" s="106"/>
      <c r="G63" s="106"/>
    </row>
    <row r="64" spans="3:7">
      <c r="C64" s="105"/>
      <c r="D64" s="105"/>
      <c r="E64" s="105"/>
      <c r="F64" s="105"/>
      <c r="G64" s="105"/>
    </row>
    <row r="65" spans="3:7">
      <c r="C65" s="67"/>
      <c r="D65" s="67"/>
      <c r="E65" s="67"/>
      <c r="F65" s="67"/>
      <c r="G65" s="67"/>
    </row>
    <row r="66" spans="3:7">
      <c r="C66" s="67"/>
      <c r="D66" s="67"/>
      <c r="E66" s="67"/>
      <c r="F66" s="67"/>
      <c r="G66" s="67"/>
    </row>
  </sheetData>
  <mergeCells count="2">
    <mergeCell ref="C46:G63"/>
    <mergeCell ref="C29:G32"/>
  </mergeCells>
  <conditionalFormatting sqref="E38:G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C9FA-A712-0F42-BBCA-6BDAC4F5FCF4}">
  <sheetPr>
    <tabColor theme="5" tint="0.79998168889431442"/>
  </sheetPr>
  <dimension ref="B2:AA68"/>
  <sheetViews>
    <sheetView showGridLines="0" topLeftCell="K1" zoomScale="84" zoomScaleNormal="150" workbookViewId="0">
      <pane ySplit="6" topLeftCell="A7" activePane="bottomLeft" state="frozen"/>
      <selection pane="bottomLeft" activeCell="P23" sqref="P23"/>
    </sheetView>
  </sheetViews>
  <sheetFormatPr baseColWidth="10" defaultRowHeight="16" outlineLevelCol="1"/>
  <cols>
    <col min="1" max="3" width="2.7109375" customWidth="1"/>
    <col min="4" max="4" width="39.7109375" customWidth="1"/>
    <col min="5" max="6" width="11" customWidth="1"/>
    <col min="7" max="8" width="11.42578125" bestFit="1" customWidth="1"/>
    <col min="9" max="9" width="26.7109375" customWidth="1"/>
    <col min="10" max="10" width="8.140625" bestFit="1" customWidth="1"/>
    <col min="11" max="11" width="27.7109375" customWidth="1"/>
    <col min="16" max="16" width="53.7109375" customWidth="1"/>
    <col min="17" max="17" width="26.7109375" customWidth="1"/>
    <col min="18" max="18" width="30.7109375" hidden="1" customWidth="1" outlineLevel="1"/>
    <col min="19" max="26" width="10.7109375" hidden="1" customWidth="1" outlineLevel="1"/>
    <col min="27" max="27" width="10.7109375" collapsed="1"/>
  </cols>
  <sheetData>
    <row r="2" spans="2:26" ht="25">
      <c r="B2" s="57" t="s">
        <v>97</v>
      </c>
      <c r="E2" s="10"/>
    </row>
    <row r="3" spans="2:26" ht="21" thickBot="1">
      <c r="B3" s="59" t="s">
        <v>50</v>
      </c>
      <c r="C3" s="58"/>
      <c r="D3" s="58"/>
      <c r="E3" s="10"/>
    </row>
    <row r="4" spans="2:26" ht="20">
      <c r="B4" s="13"/>
      <c r="E4" s="10"/>
    </row>
    <row r="6" spans="2:26">
      <c r="B6" s="17" t="s">
        <v>15</v>
      </c>
      <c r="C6" s="17"/>
      <c r="D6" s="17"/>
      <c r="E6" s="18">
        <v>37987</v>
      </c>
      <c r="F6" s="18">
        <f>EOMONTH(E6,-11)</f>
        <v>37680</v>
      </c>
      <c r="G6" s="18">
        <f>EOMONTH(F6,-11)</f>
        <v>37346</v>
      </c>
      <c r="H6" s="18">
        <f>EOMONTH(G6,-11)</f>
        <v>37011</v>
      </c>
      <c r="I6" s="9"/>
      <c r="J6" s="9"/>
      <c r="K6" s="38" t="s">
        <v>44</v>
      </c>
      <c r="L6" s="18"/>
      <c r="M6" s="18" t="s">
        <v>23</v>
      </c>
      <c r="N6" s="18" t="s">
        <v>45</v>
      </c>
      <c r="O6" s="18" t="s">
        <v>46</v>
      </c>
      <c r="P6" s="9" t="s">
        <v>105</v>
      </c>
      <c r="Q6" s="9"/>
      <c r="R6" s="38" t="s">
        <v>132</v>
      </c>
      <c r="S6" s="20"/>
      <c r="T6" s="20" t="s">
        <v>51</v>
      </c>
      <c r="U6" s="20" t="s">
        <v>52</v>
      </c>
      <c r="V6" s="20" t="s">
        <v>45</v>
      </c>
      <c r="W6" s="20" t="s">
        <v>53</v>
      </c>
      <c r="X6" s="20" t="s">
        <v>54</v>
      </c>
      <c r="Y6" s="20" t="s">
        <v>46</v>
      </c>
      <c r="Z6" s="20" t="s">
        <v>55</v>
      </c>
    </row>
    <row r="8" spans="2:26">
      <c r="B8" s="15" t="s">
        <v>31</v>
      </c>
      <c r="C8" s="1"/>
      <c r="D8" s="1"/>
      <c r="E8" s="1"/>
      <c r="F8" s="1"/>
      <c r="G8" s="1"/>
      <c r="H8" s="1"/>
      <c r="K8" s="15" t="s">
        <v>43</v>
      </c>
      <c r="L8" s="1"/>
      <c r="M8" s="1"/>
      <c r="N8" s="1"/>
      <c r="O8" s="1"/>
      <c r="R8" s="15" t="s">
        <v>43</v>
      </c>
      <c r="S8" s="1"/>
      <c r="T8" s="1"/>
      <c r="U8" s="1"/>
      <c r="V8" s="1"/>
      <c r="W8" s="1"/>
      <c r="X8" s="1"/>
      <c r="Y8" s="1"/>
      <c r="Z8" s="1"/>
    </row>
    <row r="9" spans="2:26">
      <c r="J9" s="3"/>
      <c r="Q9" s="3"/>
      <c r="R9" s="3"/>
    </row>
    <row r="10" spans="2:26">
      <c r="B10" t="s">
        <v>0</v>
      </c>
      <c r="E10" s="3">
        <v>4477981</v>
      </c>
      <c r="F10" s="3">
        <v>3665164</v>
      </c>
      <c r="G10" s="3">
        <v>2927962</v>
      </c>
      <c r="H10" s="3">
        <v>2396655</v>
      </c>
      <c r="I10" s="3"/>
      <c r="J10" s="99">
        <f>1</f>
        <v>1</v>
      </c>
      <c r="K10" t="s">
        <v>47</v>
      </c>
      <c r="M10" s="42">
        <v>0</v>
      </c>
      <c r="N10" s="28">
        <v>0.4</v>
      </c>
      <c r="O10" s="29">
        <v>0.8</v>
      </c>
      <c r="P10" s="98" t="s">
        <v>122</v>
      </c>
      <c r="Q10" s="4"/>
      <c r="R10" s="24" t="s">
        <v>56</v>
      </c>
      <c r="T10" s="26">
        <v>5</v>
      </c>
      <c r="U10" s="26">
        <v>35.9</v>
      </c>
      <c r="V10" s="26">
        <v>42.6</v>
      </c>
      <c r="W10" s="26">
        <v>47</v>
      </c>
      <c r="X10" s="26">
        <v>57.7</v>
      </c>
      <c r="Y10" s="26">
        <v>75.099999999999994</v>
      </c>
      <c r="Z10" s="26">
        <v>91.7</v>
      </c>
    </row>
    <row r="11" spans="2:26" ht="19">
      <c r="B11" t="s">
        <v>71</v>
      </c>
      <c r="E11" s="45">
        <v>2601317</v>
      </c>
      <c r="F11" s="45">
        <v>2146617</v>
      </c>
      <c r="G11" s="45">
        <v>1720396</v>
      </c>
      <c r="H11" s="45">
        <v>0</v>
      </c>
      <c r="I11" s="45"/>
      <c r="J11" s="99">
        <v>2</v>
      </c>
      <c r="K11" t="s">
        <v>60</v>
      </c>
      <c r="M11" s="30" t="str">
        <f>T6</f>
        <v>AAA</v>
      </c>
      <c r="N11" s="31" t="str">
        <f>V6</f>
        <v>A</v>
      </c>
      <c r="O11" s="32" t="str">
        <f>Y6</f>
        <v>B</v>
      </c>
      <c r="P11" s="31" t="s">
        <v>123</v>
      </c>
      <c r="Q11" s="4"/>
      <c r="R11" s="25" t="s">
        <v>57</v>
      </c>
      <c r="T11" s="23">
        <v>5.1999999999999998E-3</v>
      </c>
      <c r="U11" s="23">
        <v>1.3100000000000001E-2</v>
      </c>
      <c r="V11" s="23">
        <v>2.3199999999999998E-2</v>
      </c>
      <c r="W11" s="23">
        <v>6.6400000000000001E-2</v>
      </c>
      <c r="X11" s="23">
        <v>0.19520000000000001</v>
      </c>
      <c r="Y11" s="23">
        <v>0.35759999999999997</v>
      </c>
      <c r="Z11" s="23">
        <v>0.54379999999999995</v>
      </c>
    </row>
    <row r="12" spans="2:26">
      <c r="E12" s="3"/>
      <c r="F12" s="3"/>
      <c r="G12" s="3"/>
      <c r="H12" s="3"/>
      <c r="I12" s="3"/>
      <c r="J12" s="99">
        <v>3</v>
      </c>
      <c r="K12" t="s">
        <v>48</v>
      </c>
      <c r="M12" s="47">
        <v>0</v>
      </c>
      <c r="N12" s="33">
        <f>AVERAGE(U13:V13)</f>
        <v>5.6150000000000005E-2</v>
      </c>
      <c r="O12" s="34">
        <f>AVERAGE(Y13:Z13)</f>
        <v>8.6249999999999993E-2</v>
      </c>
      <c r="P12" s="23" t="s">
        <v>124</v>
      </c>
      <c r="Q12" s="4"/>
      <c r="R12" s="3"/>
    </row>
    <row r="13" spans="2:26" ht="19">
      <c r="B13" t="s">
        <v>1</v>
      </c>
      <c r="E13" s="45">
        <f>E10-E11</f>
        <v>1876664</v>
      </c>
      <c r="F13" s="45">
        <f t="shared" ref="F13:G13" si="0">F10-F11</f>
        <v>1518547</v>
      </c>
      <c r="G13" s="45">
        <f t="shared" si="0"/>
        <v>1207566</v>
      </c>
      <c r="H13" s="45">
        <v>986459</v>
      </c>
      <c r="I13" s="45"/>
      <c r="J13" s="99">
        <v>4</v>
      </c>
      <c r="K13" t="s">
        <v>49</v>
      </c>
      <c r="M13" s="35">
        <v>0</v>
      </c>
      <c r="N13" s="36">
        <f>AVERAGE(U11:V11)</f>
        <v>1.8149999999999999E-2</v>
      </c>
      <c r="O13" s="37">
        <f>AVERAGE(Y11:Z11)</f>
        <v>0.45069999999999999</v>
      </c>
      <c r="P13" s="23" t="s">
        <v>125</v>
      </c>
      <c r="Q13" s="6"/>
      <c r="R13" s="25" t="s">
        <v>59</v>
      </c>
      <c r="T13" s="23">
        <v>5.33E-2</v>
      </c>
      <c r="U13" s="23">
        <v>5.4800000000000001E-2</v>
      </c>
      <c r="V13" s="23">
        <v>5.7500000000000002E-2</v>
      </c>
      <c r="W13" s="23">
        <v>6.0999999999999999E-2</v>
      </c>
      <c r="X13" s="23">
        <v>6.6000000000000003E-2</v>
      </c>
      <c r="Y13" s="23">
        <v>7.7499999999999999E-2</v>
      </c>
      <c r="Z13" s="23">
        <v>9.5000000000000001E-2</v>
      </c>
    </row>
    <row r="14" spans="2:26">
      <c r="B14" t="s">
        <v>3</v>
      </c>
      <c r="E14" s="3">
        <v>639343</v>
      </c>
      <c r="F14" s="3">
        <v>480057</v>
      </c>
      <c r="G14" s="3">
        <v>346100</v>
      </c>
      <c r="H14" s="3">
        <v>272838</v>
      </c>
      <c r="I14" s="3"/>
      <c r="J14" s="97"/>
      <c r="Q14" s="3"/>
    </row>
    <row r="15" spans="2:26">
      <c r="J15" s="97"/>
      <c r="K15" s="15" t="s">
        <v>39</v>
      </c>
      <c r="L15" s="1"/>
      <c r="M15" s="1"/>
      <c r="N15" s="1"/>
      <c r="O15" s="1"/>
      <c r="Q15" s="4"/>
    </row>
    <row r="16" spans="2:26" ht="19">
      <c r="B16" t="s">
        <v>17</v>
      </c>
      <c r="E16" s="45">
        <v>10202</v>
      </c>
      <c r="F16" s="45">
        <v>11291</v>
      </c>
      <c r="G16" s="45">
        <v>10972</v>
      </c>
      <c r="H16" s="45">
        <v>0</v>
      </c>
      <c r="I16" s="45"/>
      <c r="J16" s="97"/>
      <c r="Q16" s="6"/>
      <c r="R16" s="6"/>
      <c r="U16" s="22"/>
      <c r="V16" s="22"/>
      <c r="W16" s="22"/>
    </row>
    <row r="17" spans="2:23">
      <c r="B17" t="s">
        <v>18</v>
      </c>
      <c r="E17" s="3">
        <f>E14+E16</f>
        <v>649545</v>
      </c>
      <c r="F17" s="3">
        <f t="shared" ref="F17:H17" si="1">F14+F16</f>
        <v>491348</v>
      </c>
      <c r="G17" s="3">
        <f t="shared" si="1"/>
        <v>357072</v>
      </c>
      <c r="H17" s="3">
        <f t="shared" si="1"/>
        <v>272838</v>
      </c>
      <c r="I17" s="3"/>
      <c r="J17" s="97"/>
      <c r="K17" t="s">
        <v>93</v>
      </c>
      <c r="M17" s="3">
        <v>37</v>
      </c>
      <c r="P17" s="31" t="s">
        <v>126</v>
      </c>
      <c r="Q17" s="6"/>
      <c r="R17" s="6"/>
      <c r="U17" s="22"/>
      <c r="V17" s="22"/>
      <c r="W17" s="22"/>
    </row>
    <row r="18" spans="2:23">
      <c r="E18" s="3"/>
      <c r="F18" s="3"/>
      <c r="G18" s="3"/>
      <c r="H18" s="3"/>
      <c r="I18" s="3"/>
      <c r="J18" s="97"/>
      <c r="K18" t="s">
        <v>34</v>
      </c>
      <c r="M18" s="3">
        <v>400000</v>
      </c>
      <c r="P18" s="31" t="s">
        <v>126</v>
      </c>
      <c r="Q18" s="6"/>
      <c r="R18" s="6"/>
      <c r="U18" s="22"/>
      <c r="V18" s="22"/>
      <c r="W18" s="22"/>
    </row>
    <row r="19" spans="2:23">
      <c r="B19" t="s">
        <v>19</v>
      </c>
      <c r="E19" s="3">
        <v>0</v>
      </c>
      <c r="F19" s="3">
        <v>0</v>
      </c>
      <c r="G19" s="3">
        <v>0</v>
      </c>
      <c r="H19" s="3">
        <v>0</v>
      </c>
      <c r="I19" s="3"/>
      <c r="J19" s="97"/>
      <c r="K19" t="s">
        <v>40</v>
      </c>
      <c r="M19" s="4">
        <v>0.38500000000000001</v>
      </c>
      <c r="P19" s="31" t="s">
        <v>127</v>
      </c>
      <c r="Q19" s="4"/>
      <c r="R19" s="4"/>
    </row>
    <row r="20" spans="2:23" ht="19">
      <c r="E20" s="14" t="s">
        <v>29</v>
      </c>
      <c r="F20" s="14" t="s">
        <v>29</v>
      </c>
      <c r="G20" s="14" t="s">
        <v>29</v>
      </c>
      <c r="H20" s="14" t="s">
        <v>29</v>
      </c>
      <c r="I20" s="14"/>
      <c r="J20" s="97"/>
      <c r="K20" t="s">
        <v>58</v>
      </c>
      <c r="M20" s="4">
        <v>0.2</v>
      </c>
      <c r="P20" s="31" t="s">
        <v>128</v>
      </c>
      <c r="Q20" s="6"/>
      <c r="R20" s="6"/>
    </row>
    <row r="21" spans="2:23">
      <c r="B21" t="s">
        <v>5</v>
      </c>
      <c r="E21" s="3">
        <v>399470</v>
      </c>
      <c r="F21" s="3">
        <v>302179</v>
      </c>
      <c r="G21" s="3">
        <v>219599</v>
      </c>
      <c r="H21" s="3">
        <v>171922</v>
      </c>
      <c r="I21" s="3"/>
      <c r="J21" s="97"/>
      <c r="P21" s="70"/>
      <c r="Q21" s="3"/>
      <c r="R21" s="3"/>
    </row>
    <row r="22" spans="2:23">
      <c r="J22" s="97"/>
      <c r="K22" t="s">
        <v>129</v>
      </c>
      <c r="M22" s="4">
        <v>3.8300000000000001E-2</v>
      </c>
      <c r="O22" s="4"/>
      <c r="P22" s="5" t="s">
        <v>130</v>
      </c>
      <c r="Q22" s="4"/>
      <c r="R22" s="5"/>
    </row>
    <row r="23" spans="2:23">
      <c r="B23" t="s">
        <v>26</v>
      </c>
      <c r="E23" s="11">
        <v>1.35</v>
      </c>
      <c r="F23" s="11">
        <v>1.03</v>
      </c>
      <c r="G23" s="11">
        <v>0.76</v>
      </c>
      <c r="H23" s="11" t="s">
        <v>63</v>
      </c>
      <c r="I23" s="11"/>
      <c r="J23" s="97"/>
      <c r="K23" t="s">
        <v>80</v>
      </c>
      <c r="M23" s="4">
        <f>E16/E41</f>
        <v>1.177251195771958E-2</v>
      </c>
      <c r="N23" s="6"/>
      <c r="O23" s="4"/>
      <c r="P23" s="5" t="s">
        <v>131</v>
      </c>
      <c r="Q23" s="4"/>
      <c r="R23" s="4"/>
    </row>
    <row r="24" spans="2:23">
      <c r="B24" t="s">
        <v>7</v>
      </c>
      <c r="E24" s="11">
        <v>1.31</v>
      </c>
      <c r="F24" s="11">
        <v>1</v>
      </c>
      <c r="G24" s="11">
        <v>0.74</v>
      </c>
      <c r="H24" s="11">
        <v>0.59</v>
      </c>
      <c r="I24" s="11"/>
      <c r="J24" s="4"/>
      <c r="O24" s="6"/>
      <c r="P24" s="6"/>
      <c r="Q24" s="4"/>
      <c r="R24" s="4"/>
    </row>
    <row r="25" spans="2:23">
      <c r="E25" s="4"/>
      <c r="F25" s="4"/>
      <c r="G25" s="4"/>
      <c r="H25" s="4"/>
      <c r="I25" s="4"/>
      <c r="J25" s="4"/>
      <c r="Q25" s="4"/>
      <c r="R25" s="4"/>
    </row>
    <row r="26" spans="2:23">
      <c r="B26" t="s">
        <v>20</v>
      </c>
      <c r="E26" s="3">
        <v>296854</v>
      </c>
      <c r="F26" s="3">
        <v>292927</v>
      </c>
      <c r="G26" s="3">
        <v>289877</v>
      </c>
      <c r="H26" s="3">
        <v>0</v>
      </c>
      <c r="I26" s="3"/>
      <c r="J26" s="4"/>
      <c r="Q26" s="4"/>
      <c r="R26" s="4"/>
    </row>
    <row r="27" spans="2:23">
      <c r="B27" t="s">
        <v>21</v>
      </c>
      <c r="E27" s="16">
        <v>304690</v>
      </c>
      <c r="F27" s="16">
        <v>301147</v>
      </c>
      <c r="G27" s="16">
        <v>298667</v>
      </c>
      <c r="H27" s="16">
        <v>0</v>
      </c>
      <c r="I27" s="16"/>
      <c r="J27" s="6"/>
      <c r="Q27" s="6"/>
      <c r="R27" s="6"/>
    </row>
    <row r="28" spans="2:23">
      <c r="E28" s="6"/>
      <c r="F28" s="6"/>
      <c r="G28" s="6"/>
      <c r="H28" s="6"/>
      <c r="I28" s="6"/>
      <c r="J28" s="6"/>
      <c r="Q28" s="6"/>
      <c r="R28" s="6"/>
    </row>
    <row r="29" spans="2:23">
      <c r="E29" s="6"/>
      <c r="F29" s="6"/>
      <c r="G29" s="6"/>
      <c r="H29" s="6"/>
      <c r="I29" s="6"/>
      <c r="J29" s="6"/>
      <c r="Q29" s="6"/>
      <c r="R29" s="6"/>
    </row>
    <row r="30" spans="2:23">
      <c r="B30" s="15" t="s">
        <v>32</v>
      </c>
      <c r="C30" s="1"/>
      <c r="D30" s="1"/>
      <c r="E30" s="7"/>
      <c r="F30" s="7"/>
      <c r="G30" s="7"/>
      <c r="H30" s="7"/>
      <c r="I30" s="6"/>
      <c r="J30" s="6"/>
      <c r="Q30" s="6"/>
      <c r="R30" s="6"/>
    </row>
    <row r="31" spans="2:23">
      <c r="E31" s="6"/>
      <c r="F31" s="6"/>
      <c r="G31" s="6"/>
      <c r="H31" s="6"/>
      <c r="I31" s="6"/>
      <c r="J31" s="6"/>
      <c r="Q31" s="6"/>
      <c r="R31" s="6"/>
    </row>
    <row r="32" spans="2:23">
      <c r="B32" t="s">
        <v>8</v>
      </c>
      <c r="E32" s="6">
        <v>575</v>
      </c>
      <c r="F32" s="6">
        <v>490</v>
      </c>
      <c r="G32" s="6">
        <v>396</v>
      </c>
      <c r="H32" s="6">
        <v>311</v>
      </c>
      <c r="I32" s="6"/>
      <c r="J32" s="3"/>
      <c r="K32" s="3"/>
      <c r="L32" s="3"/>
      <c r="M32" s="3"/>
      <c r="N32" s="3"/>
      <c r="O32" s="3"/>
      <c r="P32" s="3"/>
      <c r="Q32" s="3"/>
      <c r="R32" s="3"/>
    </row>
    <row r="33" spans="2:18">
      <c r="B33" t="s">
        <v>9</v>
      </c>
      <c r="E33" s="3">
        <v>19353000</v>
      </c>
      <c r="F33" s="3">
        <v>17255000</v>
      </c>
      <c r="G33" s="3">
        <v>14724000</v>
      </c>
      <c r="H33" s="3">
        <v>12204000</v>
      </c>
      <c r="I33" s="3"/>
      <c r="J33" s="4"/>
      <c r="K33" s="4"/>
      <c r="L33" s="4"/>
      <c r="M33" s="4"/>
      <c r="N33" s="4"/>
      <c r="O33" s="4"/>
      <c r="P33" s="4"/>
      <c r="Q33" s="4"/>
      <c r="R33" s="4"/>
    </row>
    <row r="34" spans="2:18">
      <c r="B34" t="s">
        <v>10</v>
      </c>
      <c r="E34" s="4">
        <v>6.3E-2</v>
      </c>
      <c r="F34" s="4">
        <v>7.9000000000000001E-2</v>
      </c>
      <c r="G34" s="4">
        <v>7.0999999999999994E-2</v>
      </c>
      <c r="H34" s="4">
        <v>0.05</v>
      </c>
      <c r="I34" s="4"/>
    </row>
    <row r="35" spans="2:18">
      <c r="J35" s="6"/>
      <c r="K35" s="6"/>
      <c r="L35" s="6"/>
      <c r="M35" s="6"/>
      <c r="N35" s="6"/>
      <c r="O35" s="6"/>
      <c r="P35" s="6"/>
      <c r="Q35" s="6"/>
      <c r="R35" s="6"/>
    </row>
    <row r="36" spans="2:18">
      <c r="B36" s="15" t="s">
        <v>33</v>
      </c>
      <c r="C36" s="1"/>
      <c r="D36" s="1"/>
      <c r="E36" s="7"/>
      <c r="F36" s="7"/>
      <c r="G36" s="7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2:18">
      <c r="E37" s="6"/>
      <c r="F37" s="6"/>
      <c r="G37" s="6"/>
      <c r="H37" s="6"/>
      <c r="I37" s="6"/>
      <c r="J37" s="3"/>
      <c r="K37" s="3"/>
      <c r="L37" s="3"/>
      <c r="M37" s="3"/>
      <c r="N37" s="3"/>
      <c r="O37" s="3"/>
      <c r="P37" s="3"/>
      <c r="Q37" s="3"/>
      <c r="R37" s="3"/>
    </row>
    <row r="38" spans="2:18">
      <c r="B38" t="s">
        <v>27</v>
      </c>
      <c r="E38" s="3">
        <v>825015</v>
      </c>
      <c r="F38" s="3">
        <v>515670</v>
      </c>
      <c r="G38" s="3">
        <v>429496</v>
      </c>
      <c r="H38" s="3">
        <v>0</v>
      </c>
      <c r="I38" s="3"/>
      <c r="J38" s="6"/>
      <c r="K38" s="6"/>
      <c r="L38" s="6"/>
      <c r="M38" s="6"/>
      <c r="N38" s="6"/>
      <c r="O38" s="6"/>
      <c r="P38" s="6"/>
      <c r="Q38" s="6"/>
      <c r="R38" s="6"/>
    </row>
    <row r="39" spans="2:18">
      <c r="B39" t="s">
        <v>35</v>
      </c>
      <c r="E39" s="3">
        <v>41580</v>
      </c>
      <c r="F39" s="3">
        <v>100927</v>
      </c>
      <c r="G39" s="3">
        <v>0</v>
      </c>
      <c r="H39" s="3">
        <v>0</v>
      </c>
      <c r="I39" s="3"/>
      <c r="J39" s="6"/>
      <c r="K39" s="6"/>
      <c r="L39" s="6"/>
      <c r="M39" s="6"/>
      <c r="N39" s="6"/>
      <c r="O39" s="6"/>
      <c r="P39" s="6"/>
      <c r="Q39" s="6"/>
      <c r="R39" s="6"/>
    </row>
    <row r="40" spans="2:18" ht="19">
      <c r="E40" s="45" t="s">
        <v>29</v>
      </c>
      <c r="F40" s="45" t="s">
        <v>29</v>
      </c>
      <c r="G40" s="45" t="s">
        <v>29</v>
      </c>
      <c r="H40" s="45" t="s">
        <v>29</v>
      </c>
      <c r="I40" s="45"/>
      <c r="J40" s="6"/>
      <c r="K40" s="6"/>
      <c r="L40" s="6"/>
      <c r="M40" s="6"/>
      <c r="N40" s="6"/>
      <c r="O40" s="6"/>
      <c r="P40" s="6"/>
      <c r="Q40" s="6"/>
      <c r="R40" s="6"/>
    </row>
    <row r="41" spans="2:18">
      <c r="B41" t="s">
        <v>42</v>
      </c>
      <c r="E41" s="3">
        <f>E38+E39</f>
        <v>866595</v>
      </c>
      <c r="F41" s="3">
        <f t="shared" ref="F41:G41" si="2">F38+F39</f>
        <v>616597</v>
      </c>
      <c r="G41" s="3">
        <f t="shared" si="2"/>
        <v>429496</v>
      </c>
      <c r="H41" s="3">
        <v>0</v>
      </c>
      <c r="I41" s="3"/>
      <c r="J41" s="6"/>
      <c r="K41" s="6"/>
      <c r="L41" s="6"/>
      <c r="M41" s="6"/>
      <c r="N41" s="6"/>
      <c r="O41" s="6"/>
      <c r="P41" s="6"/>
      <c r="Q41" s="6"/>
      <c r="R41" s="6"/>
    </row>
    <row r="42" spans="2:18">
      <c r="E42" s="3"/>
      <c r="F42" s="3"/>
      <c r="G42" s="3"/>
      <c r="H42" s="3"/>
      <c r="I42" s="3"/>
      <c r="J42" s="6"/>
      <c r="K42" s="6"/>
      <c r="L42" s="6"/>
      <c r="M42" s="6"/>
      <c r="N42" s="6"/>
      <c r="O42" s="6"/>
      <c r="P42" s="6"/>
      <c r="Q42" s="6"/>
      <c r="R42" s="6"/>
    </row>
    <row r="43" spans="2:18">
      <c r="B43" t="s">
        <v>70</v>
      </c>
      <c r="E43" s="3">
        <v>1012334</v>
      </c>
      <c r="F43" s="3">
        <v>915671</v>
      </c>
      <c r="G43" s="3">
        <v>752972</v>
      </c>
      <c r="H43" s="3">
        <v>0</v>
      </c>
      <c r="I43" s="3"/>
      <c r="J43" s="6"/>
      <c r="K43" s="6"/>
      <c r="L43" s="6"/>
      <c r="M43" s="6"/>
      <c r="N43" s="6"/>
      <c r="O43" s="6"/>
      <c r="P43" s="6"/>
      <c r="Q43" s="6"/>
      <c r="R43" s="6"/>
    </row>
    <row r="44" spans="2:18">
      <c r="E44" s="3"/>
      <c r="F44" s="3"/>
      <c r="G44" s="3"/>
      <c r="H44" s="3"/>
      <c r="I44" s="3"/>
      <c r="J44" s="6"/>
      <c r="K44" s="6"/>
      <c r="L44" s="6"/>
      <c r="M44" s="6"/>
      <c r="N44" s="6"/>
      <c r="O44" s="6"/>
      <c r="P44" s="6"/>
      <c r="Q44" s="6"/>
      <c r="R44" s="6"/>
    </row>
    <row r="45" spans="2:18" ht="19">
      <c r="B45" t="s">
        <v>36</v>
      </c>
      <c r="E45" s="45">
        <v>1969286</v>
      </c>
      <c r="F45" s="45">
        <v>1594391</v>
      </c>
      <c r="G45" s="45">
        <v>1226717</v>
      </c>
      <c r="H45" s="45">
        <v>0</v>
      </c>
      <c r="I45" s="45"/>
      <c r="J45" s="6"/>
      <c r="K45" s="6"/>
      <c r="L45" s="6"/>
      <c r="M45" s="6"/>
      <c r="N45" s="6"/>
      <c r="O45" s="6"/>
      <c r="P45" s="6"/>
      <c r="Q45" s="6"/>
      <c r="R45" s="6"/>
    </row>
    <row r="46" spans="2:18">
      <c r="B46" t="s">
        <v>12</v>
      </c>
      <c r="E46" s="3">
        <v>2865023</v>
      </c>
      <c r="F46" s="3">
        <v>2188842</v>
      </c>
      <c r="G46" s="3">
        <v>1647517</v>
      </c>
      <c r="H46" s="3">
        <v>1195725</v>
      </c>
      <c r="I46" s="3"/>
      <c r="J46" s="6"/>
      <c r="K46" s="6"/>
      <c r="L46" s="6"/>
      <c r="M46" s="6"/>
      <c r="N46" s="6"/>
      <c r="O46" s="6"/>
      <c r="P46" s="6"/>
      <c r="Q46" s="6"/>
      <c r="R46" s="6"/>
    </row>
    <row r="47" spans="2:18">
      <c r="E47" s="3"/>
      <c r="F47" s="3"/>
      <c r="G47" s="3"/>
      <c r="H47" s="3"/>
      <c r="I47" s="3"/>
      <c r="J47" s="6"/>
      <c r="K47" s="6"/>
      <c r="L47" s="6"/>
      <c r="M47" s="6"/>
      <c r="N47" s="6"/>
      <c r="O47" s="6"/>
      <c r="P47" s="6"/>
      <c r="Q47" s="6"/>
      <c r="R47" s="6"/>
    </row>
    <row r="48" spans="2:18">
      <c r="B48" t="s">
        <v>11</v>
      </c>
      <c r="E48" s="3">
        <v>1199752</v>
      </c>
      <c r="F48" s="3">
        <v>914220</v>
      </c>
      <c r="G48" s="3">
        <v>715439</v>
      </c>
      <c r="H48" s="3">
        <v>1195725</v>
      </c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>
      <c r="E49" s="6"/>
      <c r="F49" s="6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5"/>
    </row>
    <row r="50" spans="2:18" ht="19">
      <c r="B50" t="s">
        <v>37</v>
      </c>
      <c r="E50" s="45">
        <v>769534</v>
      </c>
      <c r="F50" s="45">
        <v>680171</v>
      </c>
      <c r="G50" s="45">
        <v>511278</v>
      </c>
      <c r="H50" s="45">
        <v>0</v>
      </c>
      <c r="I50" s="45"/>
      <c r="J50" s="6"/>
      <c r="K50" s="6"/>
      <c r="L50" s="6"/>
      <c r="M50" s="6"/>
      <c r="N50" s="6"/>
      <c r="O50" s="6"/>
      <c r="P50" s="6"/>
      <c r="Q50" s="6"/>
      <c r="R50" s="6"/>
    </row>
    <row r="51" spans="2:18">
      <c r="B51" t="s">
        <v>38</v>
      </c>
      <c r="E51" s="3">
        <v>874203</v>
      </c>
      <c r="F51" s="3">
        <v>736921</v>
      </c>
      <c r="G51" s="3">
        <v>553167</v>
      </c>
      <c r="H51" s="3">
        <v>0</v>
      </c>
      <c r="I51" s="3"/>
      <c r="J51" s="8"/>
      <c r="K51" s="8"/>
      <c r="L51" s="8"/>
      <c r="M51" s="8"/>
      <c r="N51" s="8"/>
      <c r="O51" s="3"/>
      <c r="P51" s="3"/>
      <c r="Q51" s="3"/>
      <c r="R51" s="8"/>
    </row>
    <row r="52" spans="2:18"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2:18">
      <c r="B53" t="s">
        <v>13</v>
      </c>
      <c r="E53" s="8">
        <v>0</v>
      </c>
      <c r="F53" s="8">
        <v>0</v>
      </c>
      <c r="G53" s="8">
        <v>0</v>
      </c>
      <c r="H53" s="8">
        <v>0</v>
      </c>
      <c r="I53" s="8"/>
      <c r="J53" s="3"/>
      <c r="K53" s="3"/>
      <c r="L53" s="3"/>
      <c r="M53" s="3"/>
      <c r="N53" s="3"/>
      <c r="O53" s="3"/>
      <c r="P53" s="3"/>
      <c r="Q53" s="3"/>
      <c r="R53" s="3"/>
    </row>
    <row r="54" spans="2:18">
      <c r="E54" s="6"/>
      <c r="F54" s="6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5"/>
    </row>
    <row r="55" spans="2:18">
      <c r="B55" t="s">
        <v>14</v>
      </c>
      <c r="E55" s="3">
        <v>1990820</v>
      </c>
      <c r="F55" s="3">
        <v>1451921</v>
      </c>
      <c r="G55" s="3">
        <v>1094350</v>
      </c>
      <c r="H55" s="3">
        <v>817018</v>
      </c>
      <c r="I55" s="3"/>
    </row>
    <row r="67" spans="5:9">
      <c r="E67" s="4"/>
      <c r="F67" s="4"/>
      <c r="G67" s="4"/>
      <c r="H67" s="4"/>
      <c r="I67" s="4"/>
    </row>
    <row r="68" spans="5:9">
      <c r="E68" s="4"/>
      <c r="F68" s="4"/>
      <c r="G68" s="4"/>
      <c r="H68" s="4"/>
      <c r="I6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396A-9795-D343-AB4A-35189D058FD5}">
  <dimension ref="B2:M25"/>
  <sheetViews>
    <sheetView showGridLines="0" workbookViewId="0">
      <pane ySplit="6" topLeftCell="A7" activePane="bottomLeft" state="frozen"/>
      <selection pane="bottomLeft" activeCell="I23" sqref="I23"/>
    </sheetView>
  </sheetViews>
  <sheetFormatPr baseColWidth="10" defaultRowHeight="16" outlineLevelCol="1"/>
  <cols>
    <col min="1" max="3" width="2.7109375" customWidth="1"/>
    <col min="4" max="4" width="39.7109375" customWidth="1"/>
    <col min="5" max="5" width="10.7109375" customWidth="1"/>
    <col min="10" max="10" width="12.28515625" hidden="1" customWidth="1" outlineLevel="1"/>
    <col min="11" max="11" width="2.7109375" hidden="1" customWidth="1" outlineLevel="1"/>
    <col min="12" max="12" width="55.7109375" hidden="1" customWidth="1" outlineLevel="1"/>
    <col min="13" max="13" width="10.7109375" collapsed="1"/>
  </cols>
  <sheetData>
    <row r="2" spans="2:12" ht="25">
      <c r="B2" s="57" t="s">
        <v>97</v>
      </c>
      <c r="E2" s="10"/>
    </row>
    <row r="3" spans="2:12" ht="21" thickBot="1">
      <c r="B3" s="59" t="s">
        <v>73</v>
      </c>
      <c r="C3" s="58"/>
      <c r="D3" s="58"/>
      <c r="E3" s="10"/>
    </row>
    <row r="4" spans="2:12" ht="20">
      <c r="B4" s="13"/>
      <c r="E4" s="10"/>
    </row>
    <row r="5" spans="2:12" ht="20">
      <c r="B5" s="13"/>
      <c r="E5" s="10"/>
    </row>
    <row r="6" spans="2:12">
      <c r="B6" s="52" t="s">
        <v>15</v>
      </c>
      <c r="C6" s="52"/>
      <c r="D6" s="52"/>
      <c r="E6" s="53">
        <v>37987</v>
      </c>
      <c r="F6" s="53">
        <f>EOMONTH(E6,-11)</f>
        <v>37680</v>
      </c>
      <c r="G6" s="53">
        <f>EOMONTH(F6,-11)</f>
        <v>37346</v>
      </c>
      <c r="J6" t="s">
        <v>144</v>
      </c>
      <c r="L6" s="68" t="s">
        <v>105</v>
      </c>
    </row>
    <row r="8" spans="2:12">
      <c r="B8" s="40" t="s">
        <v>61</v>
      </c>
      <c r="C8" s="41"/>
      <c r="D8" s="41"/>
      <c r="H8" s="1"/>
    </row>
    <row r="9" spans="2:12">
      <c r="C9" t="s">
        <v>16</v>
      </c>
      <c r="E9" s="39">
        <f>(Inputs!E10/Inputs!F10)-1</f>
        <v>0.22176824829666564</v>
      </c>
      <c r="F9" s="39">
        <f>(Inputs!F10/Inputs!G10)-1</f>
        <v>0.25177990697966712</v>
      </c>
      <c r="G9" s="39">
        <f>(Inputs!G10/Inputs!H10)-1</f>
        <v>0.22168689277346965</v>
      </c>
      <c r="H9" s="1"/>
      <c r="J9" s="103" t="s">
        <v>145</v>
      </c>
      <c r="L9" t="s">
        <v>133</v>
      </c>
    </row>
    <row r="10" spans="2:12">
      <c r="C10" t="s">
        <v>62</v>
      </c>
      <c r="E10" s="39">
        <f>(Inputs!E21/Inputs!F21)-1</f>
        <v>0.32196479570056158</v>
      </c>
      <c r="F10" s="39">
        <f>(Inputs!F21/Inputs!G21)-1</f>
        <v>0.37604907126170883</v>
      </c>
      <c r="G10" s="39">
        <f>(Inputs!G21/Inputs!H21)-1</f>
        <v>0.27731762078151712</v>
      </c>
      <c r="H10" s="1"/>
      <c r="J10" s="103" t="s">
        <v>145</v>
      </c>
      <c r="L10" t="s">
        <v>134</v>
      </c>
    </row>
    <row r="11" spans="2:12">
      <c r="C11" t="s">
        <v>94</v>
      </c>
      <c r="E11" s="39">
        <f>(Inputs!E24/Inputs!F24)-1</f>
        <v>0.31000000000000005</v>
      </c>
      <c r="F11" s="39">
        <f>(Inputs!F24/Inputs!G24)-1</f>
        <v>0.35135135135135132</v>
      </c>
      <c r="G11" s="39">
        <f>(Inputs!G24/Inputs!H24)-1</f>
        <v>0.25423728813559321</v>
      </c>
      <c r="H11" s="1"/>
      <c r="J11" s="103" t="s">
        <v>145</v>
      </c>
      <c r="L11" t="s">
        <v>135</v>
      </c>
    </row>
    <row r="12" spans="2:12">
      <c r="H12" s="1"/>
    </row>
    <row r="13" spans="2:12">
      <c r="B13" s="40" t="s">
        <v>64</v>
      </c>
      <c r="C13" s="41"/>
      <c r="D13" s="41"/>
      <c r="H13" s="1"/>
    </row>
    <row r="14" spans="2:12">
      <c r="C14" t="s">
        <v>2</v>
      </c>
      <c r="E14" s="39">
        <f>(Inputs!E10-Inputs!E11)/Inputs!E10</f>
        <v>0.41908708411223716</v>
      </c>
      <c r="F14" s="39">
        <f>(Inputs!F10-Inputs!F11)/Inputs!F10</f>
        <v>0.4143189772681386</v>
      </c>
      <c r="G14" s="39">
        <f>(Inputs!G10-Inputs!G11)/Inputs!G10</f>
        <v>0.41242543448309782</v>
      </c>
      <c r="H14" s="1"/>
      <c r="J14" s="102" t="s">
        <v>146</v>
      </c>
      <c r="L14" t="s">
        <v>138</v>
      </c>
    </row>
    <row r="15" spans="2:12">
      <c r="C15" t="s">
        <v>4</v>
      </c>
      <c r="E15" s="100">
        <f>Inputs!E14/Inputs!E10</f>
        <v>0.14277483535548721</v>
      </c>
      <c r="F15" s="39">
        <f>Inputs!F14/Inputs!F10</f>
        <v>0.13097831365799731</v>
      </c>
      <c r="G15" s="39">
        <f>Inputs!G14/Inputs!G10</f>
        <v>0.11820508599496851</v>
      </c>
      <c r="H15" s="1"/>
      <c r="J15" s="101" t="s">
        <v>147</v>
      </c>
      <c r="L15" t="s">
        <v>137</v>
      </c>
    </row>
    <row r="16" spans="2:12">
      <c r="C16" t="s">
        <v>6</v>
      </c>
      <c r="E16" s="39">
        <f>Inputs!E21/Inputs!E10</f>
        <v>8.9207613877772152E-2</v>
      </c>
      <c r="F16" s="39">
        <f>Inputs!F21/Inputs!F10</f>
        <v>8.2446242514659637E-2</v>
      </c>
      <c r="G16" s="39">
        <f>Inputs!G21/Inputs!G10</f>
        <v>7.5000631838801193E-2</v>
      </c>
      <c r="H16" s="1"/>
      <c r="J16" s="101" t="s">
        <v>147</v>
      </c>
      <c r="L16" t="s">
        <v>136</v>
      </c>
    </row>
    <row r="17" spans="2:12">
      <c r="H17" s="1"/>
    </row>
    <row r="18" spans="2:12">
      <c r="C18" t="s">
        <v>66</v>
      </c>
      <c r="E18" s="39">
        <f>Inputs!E21/AVERAGE(Inputs!E46:F46)</f>
        <v>0.15808495082476481</v>
      </c>
      <c r="F18" s="39">
        <f>Inputs!F21/AVERAGE(Inputs!F46:G46)</f>
        <v>0.15753426621439756</v>
      </c>
      <c r="G18" s="39">
        <f>Inputs!G21/AVERAGE(Inputs!G46:H46)</f>
        <v>0.15447084701196734</v>
      </c>
      <c r="H18" s="1"/>
      <c r="J18" s="103" t="s">
        <v>145</v>
      </c>
      <c r="L18" t="s">
        <v>139</v>
      </c>
    </row>
    <row r="19" spans="2:12">
      <c r="C19" s="51" t="s">
        <v>65</v>
      </c>
      <c r="D19" s="51"/>
      <c r="E19" s="54">
        <f>Inputs!E21/Inputs!E55</f>
        <v>0.20065601109090728</v>
      </c>
      <c r="F19" s="54">
        <f>Inputs!F21/AVERAGE(Inputs!F55:G55)</f>
        <v>0.23735022705752845</v>
      </c>
      <c r="G19" s="54">
        <f>Inputs!G21/AVERAGE(Inputs!G55:H55)</f>
        <v>0.2297820199982421</v>
      </c>
      <c r="H19" s="1"/>
      <c r="J19" s="51" t="s">
        <v>148</v>
      </c>
      <c r="L19" t="s">
        <v>140</v>
      </c>
    </row>
    <row r="20" spans="2:12">
      <c r="E20" s="21"/>
      <c r="H20" s="1"/>
    </row>
    <row r="21" spans="2:12">
      <c r="B21" s="40" t="s">
        <v>67</v>
      </c>
      <c r="C21" s="41"/>
      <c r="D21" s="41"/>
      <c r="H21" s="1"/>
    </row>
    <row r="22" spans="2:12">
      <c r="C22" t="s">
        <v>68</v>
      </c>
      <c r="E22" s="2">
        <f>Inputs!E45/Inputs!E50</f>
        <v>2.5590630173585573</v>
      </c>
      <c r="F22" s="2">
        <f>Inputs!F45/Inputs!F50</f>
        <v>2.3441031740547595</v>
      </c>
      <c r="G22" s="2">
        <f>Inputs!G45/Inputs!G50</f>
        <v>2.3993150497381071</v>
      </c>
      <c r="H22" s="1"/>
      <c r="J22" s="102" t="s">
        <v>146</v>
      </c>
      <c r="L22" t="s">
        <v>141</v>
      </c>
    </row>
    <row r="23" spans="2:12">
      <c r="C23" t="s">
        <v>69</v>
      </c>
      <c r="E23" s="2">
        <f>Inputs!E41/Inputs!E51</f>
        <v>0.99129721586404984</v>
      </c>
      <c r="F23" s="2">
        <f>Inputs!F41/Inputs!F51</f>
        <v>0.83672062541303616</v>
      </c>
      <c r="G23" s="2">
        <f>Inputs!G41/Inputs!G51</f>
        <v>0.77643098738717242</v>
      </c>
      <c r="H23" s="1"/>
      <c r="J23" s="102" t="s">
        <v>146</v>
      </c>
      <c r="L23" t="s">
        <v>142</v>
      </c>
    </row>
    <row r="24" spans="2:12">
      <c r="C24" t="s">
        <v>72</v>
      </c>
      <c r="E24" s="2">
        <f>Inputs!E11/Inputs!E43</f>
        <v>2.5696232666293932</v>
      </c>
      <c r="F24" s="2">
        <f>Inputs!F11/Inputs!F43</f>
        <v>2.3443103472753859</v>
      </c>
      <c r="G24" s="2">
        <f>Inputs!G11/Inputs!G43</f>
        <v>2.2848074031969317</v>
      </c>
      <c r="H24" s="1"/>
      <c r="J24" s="102" t="s">
        <v>146</v>
      </c>
      <c r="L24" t="s">
        <v>143</v>
      </c>
    </row>
    <row r="25" spans="2:12">
      <c r="H25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EFFE32A-1AAE-7F41-B482-7132192294B4}">
          <x14:colorSeries theme="1"/>
          <x14:colorNegative theme="9"/>
          <x14:colorAxis rgb="FF000000"/>
          <x14:colorMarkers rgb="FFC00000"/>
          <x14:colorFirst theme="4"/>
          <x14:colorLast theme="5"/>
          <x14:colorHigh theme="6"/>
          <x14:colorLow theme="7"/>
          <x14:sparklines>
            <x14:sparkline>
              <xm:f>'Historical Analysis'!E9:G9</xm:f>
              <xm:sqref>H9</xm:sqref>
            </x14:sparkline>
            <x14:sparkline>
              <xm:f>'Historical Analysis'!E10:G10</xm:f>
              <xm:sqref>H10</xm:sqref>
            </x14:sparkline>
            <x14:sparkline>
              <xm:f>'Historical Analysis'!E11:G11</xm:f>
              <xm:sqref>H11</xm:sqref>
            </x14:sparkline>
            <x14:sparkline>
              <xm:f>'Historical Analysis'!E12:G12</xm:f>
              <xm:sqref>H12</xm:sqref>
            </x14:sparkline>
            <x14:sparkline>
              <xm:f>'Historical Analysis'!E13:G13</xm:f>
              <xm:sqref>H13</xm:sqref>
            </x14:sparkline>
            <x14:sparkline>
              <xm:f>'Historical Analysis'!E14:G14</xm:f>
              <xm:sqref>H14</xm:sqref>
            </x14:sparkline>
            <x14:sparkline>
              <xm:f>'Historical Analysis'!E15:G15</xm:f>
              <xm:sqref>H15</xm:sqref>
            </x14:sparkline>
            <x14:sparkline>
              <xm:f>'Historical Analysis'!E16:G16</xm:f>
              <xm:sqref>H16</xm:sqref>
            </x14:sparkline>
            <x14:sparkline>
              <xm:f>'Historical Analysis'!E17:G17</xm:f>
              <xm:sqref>H17</xm:sqref>
            </x14:sparkline>
            <x14:sparkline>
              <xm:f>'Historical Analysis'!E18:G18</xm:f>
              <xm:sqref>H18</xm:sqref>
            </x14:sparkline>
            <x14:sparkline>
              <xm:f>'Historical Analysis'!E19:G19</xm:f>
              <xm:sqref>H19</xm:sqref>
            </x14:sparkline>
            <x14:sparkline>
              <xm:f>'Historical Analysis'!E20:G20</xm:f>
              <xm:sqref>H20</xm:sqref>
            </x14:sparkline>
            <x14:sparkline>
              <xm:f>'Historical Analysis'!E21:G21</xm:f>
              <xm:sqref>H21</xm:sqref>
            </x14:sparkline>
            <x14:sparkline>
              <xm:f>'Historical Analysis'!E22:G22</xm:f>
              <xm:sqref>H22</xm:sqref>
            </x14:sparkline>
            <x14:sparkline>
              <xm:f>'Historical Analysis'!E23:G23</xm:f>
              <xm:sqref>H23</xm:sqref>
            </x14:sparkline>
            <x14:sparkline>
              <xm:f>'Historical Analysis'!E24:G24</xm:f>
              <xm:sqref>H24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D326-B23B-A04F-B374-69F42220E9C6}">
  <dimension ref="B2:K53"/>
  <sheetViews>
    <sheetView showGridLines="0" workbookViewId="0">
      <pane ySplit="6" topLeftCell="A7" activePane="bottomLeft" state="frozen"/>
      <selection pane="bottomLeft" activeCell="L17" sqref="L17"/>
    </sheetView>
  </sheetViews>
  <sheetFormatPr baseColWidth="10" defaultRowHeight="16"/>
  <cols>
    <col min="1" max="3" width="2.7109375" customWidth="1"/>
    <col min="4" max="4" width="39.7109375" customWidth="1"/>
    <col min="5" max="7" width="12.7109375" customWidth="1"/>
  </cols>
  <sheetData>
    <row r="2" spans="2:8" ht="25">
      <c r="B2" s="57" t="s">
        <v>97</v>
      </c>
    </row>
    <row r="3" spans="2:8" ht="18" thickBot="1">
      <c r="B3" s="59" t="s">
        <v>28</v>
      </c>
      <c r="C3" s="58"/>
      <c r="D3" s="58"/>
    </row>
    <row r="4" spans="2:8" ht="17">
      <c r="B4" s="13"/>
    </row>
    <row r="5" spans="2:8" ht="17">
      <c r="B5" s="13"/>
    </row>
    <row r="6" spans="2:8">
      <c r="B6" s="19" t="s">
        <v>30</v>
      </c>
      <c r="C6" s="19"/>
      <c r="D6" s="19"/>
      <c r="E6" s="20" t="s">
        <v>23</v>
      </c>
      <c r="F6" s="20" t="s">
        <v>24</v>
      </c>
      <c r="G6" s="20" t="s">
        <v>25</v>
      </c>
    </row>
    <row r="8" spans="2:8">
      <c r="B8" s="15" t="s">
        <v>81</v>
      </c>
      <c r="C8" s="1"/>
      <c r="D8" s="1"/>
      <c r="E8" s="1"/>
      <c r="F8" s="1"/>
      <c r="G8" s="1"/>
      <c r="H8" s="1"/>
    </row>
    <row r="10" spans="2:8">
      <c r="B10" s="48" t="s">
        <v>77</v>
      </c>
    </row>
    <row r="11" spans="2:8">
      <c r="C11" t="str">
        <f>Inputs!K17</f>
        <v>Share price ($)</v>
      </c>
      <c r="E11" s="12">
        <f>Inputs!$M$17</f>
        <v>37</v>
      </c>
      <c r="F11" s="104" t="s">
        <v>149</v>
      </c>
      <c r="G11" s="104" t="s">
        <v>149</v>
      </c>
    </row>
    <row r="12" spans="2:8">
      <c r="C12" t="str">
        <f>Inputs!K18&amp;" used"</f>
        <v>Excess Cash used</v>
      </c>
      <c r="E12" s="12">
        <f>Inputs!$M$18</f>
        <v>400000</v>
      </c>
      <c r="F12" s="104" t="s">
        <v>149</v>
      </c>
      <c r="G12" s="104" t="s">
        <v>149</v>
      </c>
    </row>
    <row r="13" spans="2:8">
      <c r="C13" t="str">
        <f>Inputs!K10</f>
        <v>Target debt %</v>
      </c>
      <c r="E13" s="27">
        <f>Inputs!M10</f>
        <v>0</v>
      </c>
      <c r="F13" s="27">
        <f>Inputs!N10</f>
        <v>0.4</v>
      </c>
      <c r="G13" s="27">
        <f>Inputs!O10</f>
        <v>0.8</v>
      </c>
    </row>
    <row r="14" spans="2:8" ht="19">
      <c r="E14" s="14"/>
      <c r="F14" s="14"/>
      <c r="G14" s="14"/>
    </row>
    <row r="15" spans="2:8">
      <c r="B15" s="48" t="s">
        <v>78</v>
      </c>
    </row>
    <row r="16" spans="2:8">
      <c r="C16" t="str">
        <f>Inputs!B27</f>
        <v>Average shares outstanding-diluted</v>
      </c>
      <c r="E16" s="12">
        <f>Inputs!E27</f>
        <v>304690</v>
      </c>
      <c r="F16" s="12">
        <f>$E$16-F25</f>
        <v>276681.13513513515</v>
      </c>
      <c r="G16" s="12">
        <f>$E$16-G25</f>
        <v>259483.08108108107</v>
      </c>
    </row>
    <row r="17" spans="2:11">
      <c r="C17" t="str">
        <f>Inputs!B55</f>
        <v>Shareholders' equity</v>
      </c>
      <c r="E17" s="12">
        <f>Inputs!E55</f>
        <v>1990820</v>
      </c>
      <c r="F17" s="12">
        <f>$E$19*(1-F13)</f>
        <v>954492</v>
      </c>
      <c r="G17" s="12">
        <f>$E$19*(1-G13)</f>
        <v>318163.99999999994</v>
      </c>
    </row>
    <row r="18" spans="2:11">
      <c r="E18" s="12"/>
      <c r="F18" s="12"/>
      <c r="G18" s="12"/>
    </row>
    <row r="19" spans="2:11">
      <c r="C19" t="s">
        <v>88</v>
      </c>
      <c r="E19" s="12">
        <f>E17-E12</f>
        <v>1590820</v>
      </c>
      <c r="F19" s="104" t="s">
        <v>149</v>
      </c>
      <c r="G19" s="104" t="s">
        <v>149</v>
      </c>
    </row>
    <row r="20" spans="2:11">
      <c r="C20" t="s">
        <v>75</v>
      </c>
      <c r="E20" s="12">
        <f>$E$19*E13</f>
        <v>0</v>
      </c>
      <c r="F20" s="12">
        <f>$E$19*F13</f>
        <v>636328</v>
      </c>
      <c r="G20" s="12">
        <f>$E$19*G13</f>
        <v>1272656</v>
      </c>
    </row>
    <row r="21" spans="2:11">
      <c r="C21" t="s">
        <v>83</v>
      </c>
      <c r="E21" s="22">
        <f>Inputs!M12</f>
        <v>0</v>
      </c>
      <c r="F21" s="22">
        <f>Inputs!N12</f>
        <v>5.6150000000000005E-2</v>
      </c>
      <c r="G21" s="22">
        <f>Inputs!O12</f>
        <v>8.6249999999999993E-2</v>
      </c>
    </row>
    <row r="23" spans="2:11">
      <c r="B23" s="48" t="s">
        <v>79</v>
      </c>
    </row>
    <row r="24" spans="2:11">
      <c r="C24" t="s">
        <v>76</v>
      </c>
      <c r="E24" s="12">
        <v>0</v>
      </c>
      <c r="F24" s="12">
        <f>F20+$E$12</f>
        <v>1036328</v>
      </c>
      <c r="G24" s="12">
        <f>G20+$E$12</f>
        <v>1672656</v>
      </c>
    </row>
    <row r="25" spans="2:11">
      <c r="C25" t="s">
        <v>22</v>
      </c>
      <c r="E25" s="12">
        <v>0</v>
      </c>
      <c r="F25" s="44">
        <f>F24/E11</f>
        <v>28008.864864864863</v>
      </c>
      <c r="G25" s="44">
        <f>G24/E11</f>
        <v>45206.91891891892</v>
      </c>
      <c r="K25" s="12"/>
    </row>
    <row r="26" spans="2:11">
      <c r="E26" s="12"/>
      <c r="F26" s="12"/>
      <c r="G26" s="12"/>
    </row>
    <row r="27" spans="2:11">
      <c r="B27" s="15" t="s">
        <v>82</v>
      </c>
      <c r="C27" s="1"/>
      <c r="D27" s="1"/>
      <c r="E27" s="46"/>
      <c r="F27" s="1"/>
      <c r="G27" s="1"/>
      <c r="H27" s="1"/>
    </row>
    <row r="29" spans="2:11" ht="19">
      <c r="B29" t="str">
        <f>Inputs!B16</f>
        <v>Interest income</v>
      </c>
      <c r="E29" s="43">
        <f>Inputs!E16</f>
        <v>10202</v>
      </c>
      <c r="F29" s="43">
        <f>$E$29-($E$12*Inputs!$M$23)</f>
        <v>5492.995216912168</v>
      </c>
      <c r="G29" s="43">
        <f>$E$29-($E$12*Inputs!$M$23)</f>
        <v>5492.995216912168</v>
      </c>
    </row>
    <row r="30" spans="2:11">
      <c r="B30" t="str">
        <f>Inputs!B17</f>
        <v>EBIT</v>
      </c>
      <c r="E30" s="12">
        <f>Inputs!E17</f>
        <v>649545</v>
      </c>
      <c r="F30" s="12">
        <f>$E$30-($E$29-F29)</f>
        <v>644835.99521691212</v>
      </c>
      <c r="G30" s="12">
        <f>$E$30-($E$29-G29)</f>
        <v>644835.99521691212</v>
      </c>
    </row>
    <row r="32" spans="2:11">
      <c r="B32" t="s">
        <v>19</v>
      </c>
      <c r="E32" s="12">
        <f>E20*E21</f>
        <v>0</v>
      </c>
      <c r="F32" s="12">
        <f>F20*F21</f>
        <v>35729.817200000005</v>
      </c>
      <c r="G32" s="12">
        <f>G20*G21</f>
        <v>109766.57999999999</v>
      </c>
    </row>
    <row r="33" spans="2:8" ht="19">
      <c r="B33" s="14"/>
      <c r="C33" s="14"/>
      <c r="D33" s="14"/>
      <c r="E33" s="43" t="s">
        <v>29</v>
      </c>
      <c r="F33" s="43" t="s">
        <v>29</v>
      </c>
      <c r="G33" s="43" t="s">
        <v>29</v>
      </c>
    </row>
    <row r="34" spans="2:8">
      <c r="B34" t="s">
        <v>84</v>
      </c>
      <c r="E34" s="12">
        <f>E30-E32</f>
        <v>649545</v>
      </c>
      <c r="F34" s="12">
        <f t="shared" ref="F34:G34" si="0">F30-F32</f>
        <v>609106.17801691208</v>
      </c>
      <c r="G34" s="12">
        <f t="shared" si="0"/>
        <v>535069.41521691217</v>
      </c>
    </row>
    <row r="36" spans="2:8">
      <c r="B36" t="s">
        <v>85</v>
      </c>
      <c r="E36" s="12">
        <f>E34*Inputs!$M$19</f>
        <v>250074.82500000001</v>
      </c>
      <c r="F36" s="12">
        <f>F34*Inputs!$M$19</f>
        <v>234505.87853651115</v>
      </c>
      <c r="G36" s="12">
        <f>G34*Inputs!$M$19</f>
        <v>206001.72485851118</v>
      </c>
    </row>
    <row r="37" spans="2:8" ht="19">
      <c r="E37" s="14" t="s">
        <v>29</v>
      </c>
      <c r="F37" s="14" t="s">
        <v>29</v>
      </c>
      <c r="G37" s="14" t="s">
        <v>29</v>
      </c>
    </row>
    <row r="38" spans="2:8">
      <c r="B38" t="s">
        <v>86</v>
      </c>
      <c r="E38" s="12">
        <f>E34-E36</f>
        <v>399470.17499999999</v>
      </c>
      <c r="F38" s="12">
        <f t="shared" ref="F38:G38" si="1">F34-F36</f>
        <v>374600.29948040092</v>
      </c>
      <c r="G38" s="12">
        <f t="shared" si="1"/>
        <v>329067.69035840099</v>
      </c>
    </row>
    <row r="39" spans="2:8">
      <c r="B39" s="51" t="s">
        <v>95</v>
      </c>
      <c r="C39" s="51"/>
      <c r="D39" s="51"/>
      <c r="E39" s="69">
        <f>E38/E16</f>
        <v>1.3110708424956512</v>
      </c>
      <c r="F39" s="69">
        <f>F38/F16</f>
        <v>1.3539061826439327</v>
      </c>
      <c r="G39" s="69">
        <f t="shared" ref="G39" si="2">G38/G16</f>
        <v>1.268166267285753</v>
      </c>
    </row>
    <row r="41" spans="2:8">
      <c r="B41" s="15" t="s">
        <v>87</v>
      </c>
      <c r="C41" s="1"/>
      <c r="D41" s="1"/>
      <c r="E41" s="46"/>
      <c r="F41" s="1"/>
      <c r="G41" s="1"/>
      <c r="H41" s="1"/>
    </row>
    <row r="43" spans="2:8">
      <c r="B43" t="s">
        <v>74</v>
      </c>
      <c r="E43" s="12">
        <f>(E11*E16)-E12</f>
        <v>10873530</v>
      </c>
      <c r="F43" s="12">
        <f>E43</f>
        <v>10873530</v>
      </c>
      <c r="G43" s="12">
        <f>F43</f>
        <v>10873530</v>
      </c>
    </row>
    <row r="44" spans="2:8">
      <c r="B44" t="s">
        <v>90</v>
      </c>
      <c r="E44" s="12">
        <f>Inputs!$M$19*'Scenario Analysis'!E20</f>
        <v>0</v>
      </c>
      <c r="F44" s="12">
        <f>Inputs!$M$19*'Scenario Analysis'!F20</f>
        <v>244986.28</v>
      </c>
      <c r="G44" s="12">
        <f>Inputs!$M$19*'Scenario Analysis'!G20</f>
        <v>489972.56</v>
      </c>
    </row>
    <row r="45" spans="2:8">
      <c r="E45" s="49"/>
    </row>
    <row r="46" spans="2:8">
      <c r="B46" t="s">
        <v>41</v>
      </c>
      <c r="E46" s="12">
        <f>Inputs!$M$20*'Scenario Analysis'!E43</f>
        <v>2174706</v>
      </c>
      <c r="F46" s="12">
        <f>E46</f>
        <v>2174706</v>
      </c>
      <c r="G46" s="12">
        <f>F46</f>
        <v>2174706</v>
      </c>
    </row>
    <row r="47" spans="2:8">
      <c r="B47" t="s">
        <v>89</v>
      </c>
      <c r="E47" s="44">
        <f>E46*Inputs!M13</f>
        <v>0</v>
      </c>
      <c r="F47" s="44">
        <f>F46*Inputs!N13</f>
        <v>39470.9139</v>
      </c>
      <c r="G47" s="44">
        <f>G46*Inputs!O13</f>
        <v>980139.99419999996</v>
      </c>
    </row>
    <row r="48" spans="2:8" ht="19">
      <c r="E48" s="14" t="s">
        <v>29</v>
      </c>
      <c r="F48" s="14" t="s">
        <v>29</v>
      </c>
      <c r="G48" s="14" t="s">
        <v>29</v>
      </c>
    </row>
    <row r="49" spans="2:7">
      <c r="B49" s="51" t="s">
        <v>91</v>
      </c>
      <c r="C49" s="51"/>
      <c r="D49" s="51"/>
      <c r="E49" s="55">
        <f>E43+E44-E47</f>
        <v>10873530</v>
      </c>
      <c r="F49" s="55">
        <f t="shared" ref="F49" si="3">F43+F44-F47</f>
        <v>11079045.3661</v>
      </c>
      <c r="G49" s="55">
        <f>G43+G44-G47</f>
        <v>10383362.5658</v>
      </c>
    </row>
    <row r="50" spans="2:7">
      <c r="B50" s="51" t="str">
        <f>'Historical Analysis'!C19</f>
        <v>Return on Equity</v>
      </c>
      <c r="C50" s="51"/>
      <c r="D50" s="51"/>
      <c r="E50" s="56">
        <f>E38/E17</f>
        <v>0.20065609899438422</v>
      </c>
      <c r="F50" s="56">
        <f>F38/F17</f>
        <v>0.39246038676112627</v>
      </c>
      <c r="G50" s="56">
        <f>G38/G17</f>
        <v>1.0342706602833791</v>
      </c>
    </row>
    <row r="52" spans="2:7">
      <c r="B52" t="s">
        <v>96</v>
      </c>
      <c r="E52" s="12">
        <f>E49-E20+E12</f>
        <v>11273530</v>
      </c>
      <c r="F52" s="12">
        <f>F49-F20</f>
        <v>10442717.3661</v>
      </c>
      <c r="G52" s="12">
        <f>G49-G20</f>
        <v>9110706.5658</v>
      </c>
    </row>
    <row r="53" spans="2:7">
      <c r="B53" t="s">
        <v>92</v>
      </c>
      <c r="E53" s="50">
        <f>E52/E16</f>
        <v>37</v>
      </c>
      <c r="F53" s="50">
        <f>F52/F16</f>
        <v>37.742787779873836</v>
      </c>
      <c r="G53" s="50">
        <f>G52/G16</f>
        <v>35.110984993095421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Inputs</vt:lpstr>
      <vt:lpstr>Historical Analysis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Savani, Shubh</dc:creator>
  <cp:lastModifiedBy>Savani, Shubh</cp:lastModifiedBy>
  <dcterms:created xsi:type="dcterms:W3CDTF">2026-02-10T01:18:24Z</dcterms:created>
  <dcterms:modified xsi:type="dcterms:W3CDTF">2026-02-11T20:00:28Z</dcterms:modified>
</cp:coreProperties>
</file>