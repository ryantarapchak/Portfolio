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updateLinks="always" codeName="ThisWorkbook" defaultThemeVersion="166925"/>
  <mc:AlternateContent xmlns:mc="http://schemas.openxmlformats.org/markup-compatibility/2006">
    <mc:Choice Requires="x15">
      <x15ac:absPath xmlns:x15ac="http://schemas.microsoft.com/office/spreadsheetml/2010/11/ac" url="/Users/ryantarapchak/"/>
    </mc:Choice>
  </mc:AlternateContent>
  <xr:revisionPtr revIDLastSave="0" documentId="8_{BE4BB40D-AA7B-2D40-8193-CD04650FB6F4}" xr6:coauthVersionLast="47" xr6:coauthVersionMax="47" xr10:uidLastSave="{00000000-0000-0000-0000-000000000000}"/>
  <bookViews>
    <workbookView xWindow="0" yWindow="600" windowWidth="23260" windowHeight="12460" tabRatio="929" firstSheet="1" activeTab="1" xr2:uid="{00000000-000D-0000-FFFF-FFFF00000000}"/>
  </bookViews>
  <sheets>
    <sheet name="Burton EE Ratios" sheetId="48" r:id="rId1"/>
    <sheet name="Burton Stock Value" sheetId="47" r:id="rId2"/>
    <sheet name="Burton Thermowell" sheetId="42" r:id="rId3"/>
    <sheet name="Thermowell FCFFs Graphed" sheetId="49" r:id="rId4"/>
    <sheet name="Burton WACC" sheetId="35" r:id="rId5"/>
    <sheet name="Burton M&amp;A Deals" sheetId="38" r:id="rId6"/>
    <sheet name="EE Acq NPV" sheetId="39" r:id="rId7"/>
    <sheet name="EE Acquisition" sheetId="50" r:id="rId8"/>
    <sheet name="Stock Issuance" sheetId="51" r:id="rId9"/>
    <sheet name="Exh. 1 Burton BS" sheetId="11" r:id="rId10"/>
    <sheet name="Exh. 2 Burton IS" sheetId="2" r:id="rId11"/>
    <sheet name="Exh. 3 Burton SOCF" sheetId="12" state="hidden" r:id="rId12"/>
    <sheet name="Exh. 4 Sensor Industry" sheetId="29" r:id="rId13"/>
    <sheet name="Exh. 5 EE BS" sheetId="23" r:id="rId14"/>
    <sheet name="Exh. 6 EE IS" sheetId="28" r:id="rId15"/>
    <sheet name="Exh. 7 EE SOCF" sheetId="24" r:id="rId16"/>
  </sheets>
  <externalReferences>
    <externalReference r:id="rId17"/>
  </externalReferences>
  <definedNames>
    <definedName name="CIQWBGuid" hidden="1">"afe9a56e-3065-4ad9-a438-fc9f48600bfd"</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41528.7977083333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38" l="1"/>
  <c r="B45" i="38"/>
  <c r="H9" i="51"/>
  <c r="G9" i="51"/>
  <c r="F9" i="51"/>
  <c r="E9" i="51"/>
  <c r="D9" i="51"/>
  <c r="C10" i="51" s="1"/>
  <c r="C13" i="51" s="1"/>
  <c r="C15" i="51" s="1"/>
  <c r="C18" i="51" s="1"/>
  <c r="G53" i="48"/>
  <c r="H53" i="48"/>
  <c r="F53" i="48"/>
  <c r="E53" i="48"/>
  <c r="D53" i="48"/>
  <c r="C53" i="48"/>
  <c r="H52" i="48"/>
  <c r="G52" i="48"/>
  <c r="F52" i="48"/>
  <c r="E52" i="48"/>
  <c r="D52" i="48"/>
  <c r="C52" i="48"/>
  <c r="H54" i="48"/>
  <c r="G54" i="48"/>
  <c r="F54" i="48"/>
  <c r="E54" i="48"/>
  <c r="E55" i="48" s="1"/>
  <c r="D54" i="48"/>
  <c r="D55" i="48" s="1"/>
  <c r="C54" i="48"/>
  <c r="C55" i="48" s="1"/>
  <c r="I51" i="42"/>
  <c r="I52" i="42" s="1"/>
  <c r="H51" i="42"/>
  <c r="H52" i="42" s="1"/>
  <c r="G51" i="42"/>
  <c r="G52" i="42" s="1"/>
  <c r="F51" i="42"/>
  <c r="F52" i="42" s="1"/>
  <c r="E51" i="42"/>
  <c r="E52" i="42" s="1"/>
  <c r="D51" i="42"/>
  <c r="D52" i="42" s="1"/>
  <c r="C51" i="42"/>
  <c r="C52" i="42" s="1"/>
  <c r="B51" i="42"/>
  <c r="B52" i="42" s="1"/>
  <c r="B38" i="42"/>
  <c r="I21" i="42"/>
  <c r="I38" i="42" s="1"/>
  <c r="B20" i="42"/>
  <c r="C15" i="42"/>
  <c r="C14" i="42"/>
  <c r="D14" i="42" s="1"/>
  <c r="E14" i="42" s="1"/>
  <c r="F14" i="42" s="1"/>
  <c r="G14" i="42" s="1"/>
  <c r="H14" i="42" s="1"/>
  <c r="I14" i="42" s="1"/>
  <c r="C13" i="42"/>
  <c r="B8" i="39"/>
  <c r="B47" i="39" s="1"/>
  <c r="N49" i="39"/>
  <c r="O49" i="39"/>
  <c r="P49" i="39"/>
  <c r="Q49" i="39"/>
  <c r="M49" i="39"/>
  <c r="J49" i="39"/>
  <c r="K49" i="39"/>
  <c r="J48" i="39"/>
  <c r="K48" i="39"/>
  <c r="F55" i="48" l="1"/>
  <c r="G55" i="48"/>
  <c r="H55" i="48"/>
  <c r="C16" i="42"/>
  <c r="D13" i="42"/>
  <c r="C19" i="42"/>
  <c r="C36" i="42" s="1"/>
  <c r="D15" i="42"/>
  <c r="B37" i="42"/>
  <c r="B22" i="42"/>
  <c r="C44" i="42" l="1"/>
  <c r="B42" i="42"/>
  <c r="B23" i="42"/>
  <c r="D19" i="42"/>
  <c r="D36" i="42" s="1"/>
  <c r="E15" i="42"/>
  <c r="D16" i="42"/>
  <c r="E13" i="42"/>
  <c r="C32" i="42"/>
  <c r="C17" i="42"/>
  <c r="C18" i="42" s="1"/>
  <c r="C22" i="42" s="1"/>
  <c r="B61" i="35"/>
  <c r="B56" i="39"/>
  <c r="B46" i="39"/>
  <c r="L81" i="39"/>
  <c r="K81" i="39"/>
  <c r="J81" i="39"/>
  <c r="J82" i="39" s="1"/>
  <c r="B39" i="39"/>
  <c r="B40" i="39"/>
  <c r="B41" i="39"/>
  <c r="B42" i="39"/>
  <c r="B38" i="39"/>
  <c r="B37" i="39"/>
  <c r="J75" i="39"/>
  <c r="K75" i="39"/>
  <c r="I75" i="39"/>
  <c r="L75" i="39" s="1"/>
  <c r="J74" i="39"/>
  <c r="K74" i="39"/>
  <c r="I74" i="39"/>
  <c r="J73" i="39"/>
  <c r="K73" i="39"/>
  <c r="I73" i="39"/>
  <c r="J72" i="39"/>
  <c r="K72" i="39"/>
  <c r="I72" i="39"/>
  <c r="L72" i="39" s="1"/>
  <c r="J71" i="39"/>
  <c r="K71" i="39"/>
  <c r="I71" i="39"/>
  <c r="J70" i="39"/>
  <c r="K70" i="39"/>
  <c r="I70" i="39"/>
  <c r="O52" i="39"/>
  <c r="L52" i="39"/>
  <c r="K50" i="39"/>
  <c r="L50" i="39"/>
  <c r="J50" i="39"/>
  <c r="L49" i="39"/>
  <c r="L48" i="39"/>
  <c r="L47" i="39"/>
  <c r="L46" i="39"/>
  <c r="M26" i="39"/>
  <c r="M30" i="39" s="1"/>
  <c r="L42" i="39"/>
  <c r="K42" i="39"/>
  <c r="J42" i="39"/>
  <c r="L25" i="39"/>
  <c r="E16" i="42" l="1"/>
  <c r="F13" i="42"/>
  <c r="D32" i="42"/>
  <c r="D17" i="42"/>
  <c r="D18" i="42" s="1"/>
  <c r="D22" i="42" s="1"/>
  <c r="E19" i="42"/>
  <c r="E36" i="42" s="1"/>
  <c r="F15" i="42"/>
  <c r="C23" i="42"/>
  <c r="D23" i="42" s="1"/>
  <c r="C45" i="42"/>
  <c r="B39" i="42"/>
  <c r="B40" i="42" s="1"/>
  <c r="B29" i="42" s="1"/>
  <c r="M31" i="39"/>
  <c r="L70" i="39"/>
  <c r="M53" i="39" s="1"/>
  <c r="L73" i="39"/>
  <c r="M63" i="39" s="1"/>
  <c r="L74" i="39"/>
  <c r="M64" i="39" s="1"/>
  <c r="C42" i="39" s="1"/>
  <c r="B43" i="39"/>
  <c r="M78" i="39"/>
  <c r="B30" i="39" s="1"/>
  <c r="M56" i="39"/>
  <c r="C39" i="39" s="1"/>
  <c r="M55" i="39"/>
  <c r="C38" i="39" s="1"/>
  <c r="L71" i="39"/>
  <c r="N26" i="39"/>
  <c r="N31" i="39" s="1"/>
  <c r="M33" i="39"/>
  <c r="B29" i="39" s="1"/>
  <c r="M27" i="39"/>
  <c r="M28" i="39" s="1"/>
  <c r="C33" i="42" l="1"/>
  <c r="C34" i="42" s="1"/>
  <c r="C35" i="42" s="1"/>
  <c r="C46" i="42"/>
  <c r="F19" i="42"/>
  <c r="F36" i="42" s="1"/>
  <c r="G15" i="42"/>
  <c r="F16" i="42"/>
  <c r="G13" i="42"/>
  <c r="E32" i="42"/>
  <c r="E17" i="42"/>
  <c r="E18" i="42" s="1"/>
  <c r="E22" i="42" s="1"/>
  <c r="O26" i="39"/>
  <c r="N33" i="39"/>
  <c r="C29" i="39" s="1"/>
  <c r="B26" i="39"/>
  <c r="N78" i="39"/>
  <c r="C30" i="39" s="1"/>
  <c r="O53" i="39"/>
  <c r="O64" i="39"/>
  <c r="E42" i="39" s="1"/>
  <c r="N55" i="39"/>
  <c r="D38" i="39" s="1"/>
  <c r="C37" i="39"/>
  <c r="N54" i="39"/>
  <c r="D40" i="39" s="1"/>
  <c r="O54" i="39"/>
  <c r="E40" i="39" s="1"/>
  <c r="M54" i="39"/>
  <c r="C40" i="39" s="1"/>
  <c r="O63" i="39"/>
  <c r="N53" i="39"/>
  <c r="O55" i="39"/>
  <c r="E38" i="39" s="1"/>
  <c r="N63" i="39"/>
  <c r="C41" i="39"/>
  <c r="M66" i="39"/>
  <c r="N64" i="39"/>
  <c r="D42" i="39" s="1"/>
  <c r="N27" i="39"/>
  <c r="N28" i="39" s="1"/>
  <c r="N30" i="39"/>
  <c r="N56" i="39"/>
  <c r="D39" i="39" s="1"/>
  <c r="C26" i="39"/>
  <c r="C27" i="39" s="1"/>
  <c r="C28" i="39" s="1"/>
  <c r="P26" i="39"/>
  <c r="P78" i="39" s="1"/>
  <c r="E30" i="39" s="1"/>
  <c r="O33" i="39"/>
  <c r="D29" i="39" s="1"/>
  <c r="O27" i="39"/>
  <c r="O28" i="39" s="1"/>
  <c r="O30" i="39"/>
  <c r="B27" i="39"/>
  <c r="B28" i="39" s="1"/>
  <c r="O31" i="39"/>
  <c r="E23" i="42" l="1"/>
  <c r="G16" i="42"/>
  <c r="H13" i="42"/>
  <c r="F32" i="42"/>
  <c r="F17" i="42"/>
  <c r="F18" i="42" s="1"/>
  <c r="F22" i="42" s="1"/>
  <c r="G19" i="42"/>
  <c r="G36" i="42" s="1"/>
  <c r="H15" i="42"/>
  <c r="C39" i="42"/>
  <c r="C47" i="42"/>
  <c r="D44" i="42" s="1"/>
  <c r="C40" i="42"/>
  <c r="C29" i="42" s="1"/>
  <c r="P54" i="39"/>
  <c r="F40" i="39" s="1"/>
  <c r="O56" i="39"/>
  <c r="E39" i="39" s="1"/>
  <c r="O78" i="39"/>
  <c r="D30" i="39" s="1"/>
  <c r="D37" i="39"/>
  <c r="N57" i="39"/>
  <c r="P64" i="39"/>
  <c r="F42" i="39" s="1"/>
  <c r="P53" i="39"/>
  <c r="P55" i="39"/>
  <c r="F38" i="39" s="1"/>
  <c r="P56" i="39"/>
  <c r="F39" i="39" s="1"/>
  <c r="P63" i="39"/>
  <c r="M57" i="39"/>
  <c r="N66" i="39"/>
  <c r="D41" i="39"/>
  <c r="O66" i="39"/>
  <c r="E41" i="39"/>
  <c r="C43" i="39"/>
  <c r="B31" i="39" s="1"/>
  <c r="B33" i="39" s="1"/>
  <c r="B34" i="39" s="1"/>
  <c r="E37" i="39"/>
  <c r="O57" i="39"/>
  <c r="Q26" i="39"/>
  <c r="Q78" i="39" s="1"/>
  <c r="F30" i="39" s="1"/>
  <c r="P30" i="39"/>
  <c r="P33" i="39"/>
  <c r="E29" i="39" s="1"/>
  <c r="P27" i="39"/>
  <c r="P28" i="39" s="1"/>
  <c r="P31" i="39"/>
  <c r="D26" i="39"/>
  <c r="D45" i="42" l="1"/>
  <c r="H19" i="42"/>
  <c r="H36" i="42" s="1"/>
  <c r="I15" i="42"/>
  <c r="I19" i="42" s="1"/>
  <c r="I36" i="42" s="1"/>
  <c r="H16" i="42"/>
  <c r="I13" i="42"/>
  <c r="I16" i="42" s="1"/>
  <c r="G32" i="42"/>
  <c r="G17" i="42"/>
  <c r="G18" i="42" s="1"/>
  <c r="G22" i="42" s="1"/>
  <c r="F23" i="42"/>
  <c r="G23" i="42" s="1"/>
  <c r="D43" i="39"/>
  <c r="C31" i="39" s="1"/>
  <c r="C33" i="39" s="1"/>
  <c r="C34" i="39" s="1"/>
  <c r="E43" i="39"/>
  <c r="D31" i="39" s="1"/>
  <c r="Q63" i="39"/>
  <c r="Q64" i="39"/>
  <c r="G42" i="39" s="1"/>
  <c r="Q56" i="39"/>
  <c r="G39" i="39" s="1"/>
  <c r="Q55" i="39"/>
  <c r="G38" i="39" s="1"/>
  <c r="Q53" i="39"/>
  <c r="Q54" i="39"/>
  <c r="G40" i="39" s="1"/>
  <c r="F37" i="39"/>
  <c r="P57" i="39"/>
  <c r="P66" i="39"/>
  <c r="F41" i="39"/>
  <c r="E26" i="39"/>
  <c r="E27" i="39" s="1"/>
  <c r="E28" i="39" s="1"/>
  <c r="D27" i="39"/>
  <c r="D28" i="39" s="1"/>
  <c r="D33" i="39" s="1"/>
  <c r="D34" i="39" s="1"/>
  <c r="Q30" i="39"/>
  <c r="Q33" i="39"/>
  <c r="F29" i="39" s="1"/>
  <c r="Q27" i="39"/>
  <c r="Q28" i="39" s="1"/>
  <c r="Q31" i="39"/>
  <c r="I32" i="42" l="1"/>
  <c r="I17" i="42"/>
  <c r="I18" i="42" s="1"/>
  <c r="I22" i="42" s="1"/>
  <c r="H32" i="42"/>
  <c r="H17" i="42"/>
  <c r="H18" i="42" s="1"/>
  <c r="H22" i="42" s="1"/>
  <c r="D33" i="42"/>
  <c r="D34" i="42" s="1"/>
  <c r="D35" i="42" s="1"/>
  <c r="D46" i="42"/>
  <c r="F43" i="39"/>
  <c r="E31" i="39" s="1"/>
  <c r="E33" i="39" s="1"/>
  <c r="E34" i="39" s="1"/>
  <c r="G37" i="39"/>
  <c r="Q57" i="39"/>
  <c r="Q66" i="39"/>
  <c r="G41" i="39"/>
  <c r="F26" i="39"/>
  <c r="F27" i="39" s="1"/>
  <c r="D39" i="42" l="1"/>
  <c r="D47" i="42"/>
  <c r="E44" i="42" s="1"/>
  <c r="D40" i="42"/>
  <c r="D29" i="42" s="1"/>
  <c r="B6" i="42"/>
  <c r="B5" i="42"/>
  <c r="G43" i="39"/>
  <c r="F31" i="39" s="1"/>
  <c r="F28" i="39"/>
  <c r="F33" i="39" s="1"/>
  <c r="E45" i="42" l="1"/>
  <c r="M54" i="38"/>
  <c r="B55" i="38"/>
  <c r="D11" i="38"/>
  <c r="J55" i="38"/>
  <c r="E33" i="42" l="1"/>
  <c r="E34" i="42" s="1"/>
  <c r="E35" i="42" s="1"/>
  <c r="E46" i="42"/>
  <c r="J56" i="38"/>
  <c r="C56" i="38"/>
  <c r="E39" i="42" l="1"/>
  <c r="E47" i="42"/>
  <c r="F44" i="42" s="1"/>
  <c r="E40" i="42"/>
  <c r="E29" i="42" s="1"/>
  <c r="J57" i="38"/>
  <c r="B56" i="38"/>
  <c r="F45" i="42" l="1"/>
  <c r="B57" i="38"/>
  <c r="C57" i="38"/>
  <c r="F33" i="42" l="1"/>
  <c r="F34" i="42" s="1"/>
  <c r="F35" i="42" s="1"/>
  <c r="F46" i="42"/>
  <c r="K24" i="38"/>
  <c r="K22" i="38"/>
  <c r="J23" i="38"/>
  <c r="J24" i="38" s="1"/>
  <c r="J22" i="38"/>
  <c r="D52" i="35"/>
  <c r="D53" i="35"/>
  <c r="D54" i="35"/>
  <c r="D55" i="35"/>
  <c r="D56" i="35"/>
  <c r="D57" i="35"/>
  <c r="D58" i="35"/>
  <c r="D59" i="35"/>
  <c r="D51" i="35"/>
  <c r="L52" i="35"/>
  <c r="L53" i="35"/>
  <c r="L54" i="35"/>
  <c r="L55" i="35"/>
  <c r="L56" i="35"/>
  <c r="L57" i="35"/>
  <c r="L58" i="35"/>
  <c r="L59" i="35"/>
  <c r="L51" i="35"/>
  <c r="K52" i="35"/>
  <c r="K53" i="35"/>
  <c r="K54" i="35"/>
  <c r="K55" i="35"/>
  <c r="K56" i="35"/>
  <c r="K57" i="35"/>
  <c r="K58" i="35"/>
  <c r="K59" i="35"/>
  <c r="K51" i="35"/>
  <c r="J52" i="35"/>
  <c r="J53" i="35"/>
  <c r="J54" i="35"/>
  <c r="J55" i="35"/>
  <c r="J56" i="35"/>
  <c r="J57" i="35"/>
  <c r="J58" i="35"/>
  <c r="J59" i="35"/>
  <c r="J51" i="35"/>
  <c r="G52" i="35"/>
  <c r="G53" i="35"/>
  <c r="G54" i="35"/>
  <c r="G55" i="35"/>
  <c r="G56" i="35"/>
  <c r="G57" i="35"/>
  <c r="G58" i="35"/>
  <c r="G59" i="35"/>
  <c r="G51" i="35"/>
  <c r="F52" i="35"/>
  <c r="F53" i="35"/>
  <c r="F54" i="35"/>
  <c r="F55" i="35"/>
  <c r="F56" i="35"/>
  <c r="F57" i="35"/>
  <c r="F58" i="35"/>
  <c r="F59" i="35"/>
  <c r="F51" i="35"/>
  <c r="B35" i="35"/>
  <c r="B34" i="35"/>
  <c r="F39" i="42" l="1"/>
  <c r="F47" i="42"/>
  <c r="G44" i="42" s="1"/>
  <c r="F40" i="42"/>
  <c r="F29" i="42" s="1"/>
  <c r="B7" i="39"/>
  <c r="G45" i="42" l="1"/>
  <c r="B9" i="39"/>
  <c r="F32" i="39"/>
  <c r="F34" i="39" s="1"/>
  <c r="I17" i="39"/>
  <c r="B11" i="39"/>
  <c r="B13" i="39" s="1"/>
  <c r="G33" i="42" l="1"/>
  <c r="G34" i="42" s="1"/>
  <c r="G35" i="42" s="1"/>
  <c r="G46" i="42"/>
  <c r="B55" i="39"/>
  <c r="B54" i="39"/>
  <c r="B48" i="39"/>
  <c r="G39" i="42" l="1"/>
  <c r="G47" i="42"/>
  <c r="H44" i="42" s="1"/>
  <c r="G40" i="42"/>
  <c r="G29" i="42" s="1"/>
  <c r="A27" i="38"/>
  <c r="A19" i="38" s="1"/>
  <c r="A26" i="38"/>
  <c r="A18" i="38" s="1"/>
  <c r="A25" i="38"/>
  <c r="A17" i="38" s="1"/>
  <c r="H45" i="42" l="1"/>
  <c r="A36" i="38"/>
  <c r="A37" i="38"/>
  <c r="A35" i="38"/>
  <c r="H33" i="42" l="1"/>
  <c r="H34" i="42" s="1"/>
  <c r="H35" i="42" s="1"/>
  <c r="H46" i="42"/>
  <c r="H39" i="42" l="1"/>
  <c r="H47" i="42"/>
  <c r="I44" i="42" s="1"/>
  <c r="H40" i="42"/>
  <c r="H29" i="42" s="1"/>
  <c r="I45" i="42" l="1"/>
  <c r="I33" i="42" l="1"/>
  <c r="I34" i="42" s="1"/>
  <c r="I35" i="42" s="1"/>
  <c r="I46" i="42"/>
  <c r="I39" i="42" l="1"/>
  <c r="I47" i="42"/>
  <c r="I40" i="42"/>
  <c r="I29" i="42" s="1"/>
  <c r="C14" i="35"/>
  <c r="B52" i="35" l="1"/>
  <c r="C9" i="38"/>
  <c r="M8" i="38" s="1"/>
  <c r="C8" i="38"/>
  <c r="C7" i="38"/>
  <c r="B23" i="35"/>
  <c r="B22" i="35"/>
  <c r="G20" i="35"/>
  <c r="D17" i="35"/>
  <c r="D16" i="35"/>
  <c r="D15" i="35"/>
  <c r="D14" i="35"/>
  <c r="C17" i="35"/>
  <c r="B17" i="35" s="1"/>
  <c r="C16" i="35"/>
  <c r="B16" i="35" s="1"/>
  <c r="C15" i="35"/>
  <c r="B15" i="35" s="1"/>
  <c r="B14" i="35"/>
  <c r="B53" i="35" l="1"/>
  <c r="C10" i="38"/>
  <c r="D18" i="35"/>
  <c r="F15" i="35" s="1"/>
  <c r="G15" i="35" s="1"/>
  <c r="F14" i="35" l="1"/>
  <c r="G14" i="35" s="1"/>
  <c r="B18" i="35"/>
  <c r="B45" i="39" s="1"/>
  <c r="B51" i="39" s="1"/>
  <c r="B50" i="39" s="1"/>
  <c r="B49" i="39" s="1"/>
  <c r="H34" i="39" s="1"/>
  <c r="B6" i="39" s="1"/>
  <c r="B12" i="39" s="1"/>
  <c r="B14" i="39" s="1"/>
  <c r="B15" i="39" s="1"/>
  <c r="F17" i="35"/>
  <c r="G17" i="35" s="1"/>
  <c r="F16" i="35"/>
  <c r="G16" i="35" s="1"/>
  <c r="B54" i="35"/>
  <c r="G18" i="35" l="1"/>
  <c r="B32" i="35"/>
  <c r="B36" i="35" s="1"/>
  <c r="B37" i="35" s="1"/>
  <c r="B55" i="35"/>
  <c r="B40" i="35" l="1"/>
  <c r="B38" i="35"/>
  <c r="B56" i="35"/>
  <c r="B57" i="35" l="1"/>
  <c r="B58" i="35" l="1"/>
  <c r="L21" i="29"/>
  <c r="K21" i="29"/>
  <c r="J21" i="29"/>
  <c r="H21" i="29"/>
  <c r="G21" i="29"/>
  <c r="F21" i="29"/>
  <c r="D21" i="29"/>
  <c r="C21" i="29"/>
  <c r="B21" i="29"/>
  <c r="P20" i="29"/>
  <c r="O20" i="29"/>
  <c r="N20" i="29"/>
  <c r="L20" i="29"/>
  <c r="K20" i="29"/>
  <c r="J20" i="29"/>
  <c r="H20" i="29"/>
  <c r="G20" i="29"/>
  <c r="F20" i="29"/>
  <c r="D20" i="29"/>
  <c r="C20" i="29"/>
  <c r="B20" i="29"/>
  <c r="P19" i="29"/>
  <c r="O19" i="29"/>
  <c r="N19" i="29"/>
  <c r="L19" i="29"/>
  <c r="K19" i="29"/>
  <c r="J19" i="29"/>
  <c r="H19" i="29"/>
  <c r="G19" i="29"/>
  <c r="F19" i="29"/>
  <c r="D19" i="29"/>
  <c r="C19" i="29"/>
  <c r="B19" i="29"/>
  <c r="P15" i="29"/>
  <c r="O15" i="29"/>
  <c r="N15" i="29"/>
  <c r="L15" i="29"/>
  <c r="K15" i="29"/>
  <c r="J15" i="29"/>
  <c r="H15" i="29"/>
  <c r="G15" i="29"/>
  <c r="F15" i="29"/>
  <c r="D15" i="29"/>
  <c r="C15" i="29"/>
  <c r="B15" i="29"/>
  <c r="P14" i="29"/>
  <c r="O14" i="29"/>
  <c r="N14" i="29"/>
  <c r="L14" i="29"/>
  <c r="K14" i="29"/>
  <c r="J14" i="29"/>
  <c r="H14" i="29"/>
  <c r="G14" i="29"/>
  <c r="F14" i="29"/>
  <c r="D14" i="29"/>
  <c r="C14" i="29"/>
  <c r="B14" i="29"/>
  <c r="P5" i="29"/>
  <c r="L5" i="29"/>
  <c r="H5" i="29"/>
  <c r="D5" i="29"/>
  <c r="C5" i="2"/>
  <c r="D4" i="24"/>
  <c r="D4" i="28"/>
  <c r="D19" i="28"/>
  <c r="C19" i="28"/>
  <c r="B19" i="28"/>
  <c r="D4" i="23"/>
  <c r="B67" i="11"/>
  <c r="B12" i="2" s="1"/>
  <c r="B60" i="11"/>
  <c r="B22" i="12"/>
  <c r="I18" i="11"/>
  <c r="I60" i="11"/>
  <c r="I22" i="12" s="1"/>
  <c r="H18" i="11"/>
  <c r="H60" i="11"/>
  <c r="H22" i="12"/>
  <c r="I24" i="12"/>
  <c r="H24" i="12"/>
  <c r="H25" i="12"/>
  <c r="B8" i="12"/>
  <c r="D60" i="11"/>
  <c r="D22" i="12" s="1"/>
  <c r="C16" i="11"/>
  <c r="D16" i="11" s="1"/>
  <c r="C60" i="11"/>
  <c r="C22" i="12"/>
  <c r="B61" i="11"/>
  <c r="E24" i="12"/>
  <c r="F24" i="12"/>
  <c r="G24" i="12"/>
  <c r="C24" i="12"/>
  <c r="D24" i="12"/>
  <c r="B62" i="11"/>
  <c r="B21" i="11" s="1"/>
  <c r="B29" i="11" s="1"/>
  <c r="C58" i="11"/>
  <c r="C61" i="11" s="1"/>
  <c r="B18" i="11"/>
  <c r="C18" i="11"/>
  <c r="C57" i="11"/>
  <c r="D57" i="11" s="1"/>
  <c r="E57" i="11" s="1"/>
  <c r="F57" i="11" s="1"/>
  <c r="G57" i="11" s="1"/>
  <c r="H57" i="11" s="1"/>
  <c r="I57" i="11" s="1"/>
  <c r="C70" i="11"/>
  <c r="D70" i="11"/>
  <c r="E70" i="11" s="1"/>
  <c r="F70" i="11" s="1"/>
  <c r="G70" i="11" s="1"/>
  <c r="H70" i="11" s="1"/>
  <c r="I70" i="11" s="1"/>
  <c r="C47" i="11"/>
  <c r="D47" i="11" s="1"/>
  <c r="E47" i="11" s="1"/>
  <c r="F47" i="11" s="1"/>
  <c r="G47" i="11" s="1"/>
  <c r="H47" i="11" s="1"/>
  <c r="I47" i="11" s="1"/>
  <c r="C33" i="11"/>
  <c r="D33" i="11"/>
  <c r="E33" i="11" s="1"/>
  <c r="F33" i="11"/>
  <c r="G33" i="11" s="1"/>
  <c r="H33" i="11" s="1"/>
  <c r="I33" i="11" s="1"/>
  <c r="C25" i="2"/>
  <c r="D25" i="2"/>
  <c r="E25" i="2"/>
  <c r="F25" i="2" s="1"/>
  <c r="G25" i="2" s="1"/>
  <c r="H25" i="2" s="1"/>
  <c r="I25" i="2" s="1"/>
  <c r="C4" i="12"/>
  <c r="D4" i="12"/>
  <c r="E4" i="12"/>
  <c r="F4" i="12"/>
  <c r="G4" i="12" s="1"/>
  <c r="H4" i="12" s="1"/>
  <c r="I4" i="12" s="1"/>
  <c r="C4" i="11"/>
  <c r="D4" i="11" s="1"/>
  <c r="E4" i="11" s="1"/>
  <c r="F4" i="11" s="1"/>
  <c r="G4" i="11"/>
  <c r="H4" i="11" s="1"/>
  <c r="I4" i="11" s="1"/>
  <c r="C6" i="2"/>
  <c r="B9" i="2"/>
  <c r="B6" i="2"/>
  <c r="C10" i="2"/>
  <c r="B10" i="2"/>
  <c r="B35" i="11"/>
  <c r="B36" i="11"/>
  <c r="C35" i="11"/>
  <c r="C49" i="11"/>
  <c r="C11" i="2" s="1"/>
  <c r="C7" i="2"/>
  <c r="D5" i="2"/>
  <c r="C9" i="2"/>
  <c r="B50" i="11"/>
  <c r="B17" i="12" s="1"/>
  <c r="B18" i="12" s="1"/>
  <c r="C6" i="11"/>
  <c r="C15" i="11"/>
  <c r="C8" i="11"/>
  <c r="C36" i="11"/>
  <c r="B7" i="2"/>
  <c r="C14" i="11"/>
  <c r="C50" i="11"/>
  <c r="C7" i="11"/>
  <c r="D35" i="11"/>
  <c r="D14" i="11" s="1"/>
  <c r="D49" i="11"/>
  <c r="D7" i="12" s="1"/>
  <c r="D10" i="2"/>
  <c r="E5" i="2"/>
  <c r="D6" i="2"/>
  <c r="B14" i="11"/>
  <c r="C17" i="12"/>
  <c r="C18" i="12" s="1"/>
  <c r="D18" i="11"/>
  <c r="E60" i="11"/>
  <c r="E22" i="12" s="1"/>
  <c r="E25" i="12" s="1"/>
  <c r="E44" i="11"/>
  <c r="F44" i="11" s="1"/>
  <c r="C4" i="2"/>
  <c r="D4" i="2"/>
  <c r="E4" i="2" s="1"/>
  <c r="F4" i="2"/>
  <c r="G4" i="2" s="1"/>
  <c r="H4" i="2" s="1"/>
  <c r="I4" i="2" s="1"/>
  <c r="E9" i="2"/>
  <c r="E35" i="11"/>
  <c r="F5" i="2"/>
  <c r="G5" i="2" s="1"/>
  <c r="E10" i="2"/>
  <c r="D8" i="11"/>
  <c r="D15" i="11"/>
  <c r="D50" i="11"/>
  <c r="D17" i="12"/>
  <c r="D7" i="11"/>
  <c r="D6" i="11"/>
  <c r="F45" i="11"/>
  <c r="D12" i="12"/>
  <c r="D18" i="12"/>
  <c r="D8" i="12"/>
  <c r="F9" i="2"/>
  <c r="F10" i="2"/>
  <c r="F35" i="11"/>
  <c r="F6" i="11" s="1"/>
  <c r="F49" i="11"/>
  <c r="E14" i="11"/>
  <c r="E7" i="11"/>
  <c r="C7" i="12"/>
  <c r="F50" i="11"/>
  <c r="F14" i="11"/>
  <c r="F7" i="11"/>
  <c r="F60" i="11"/>
  <c r="F22" i="12" s="1"/>
  <c r="F25" i="12" s="1"/>
  <c r="E18" i="11"/>
  <c r="F17" i="12"/>
  <c r="F18" i="11"/>
  <c r="G60" i="11"/>
  <c r="G22" i="12"/>
  <c r="G25" i="12" s="1"/>
  <c r="G18" i="11"/>
  <c r="F7" i="12"/>
  <c r="F11" i="2"/>
  <c r="D36" i="11"/>
  <c r="E6" i="2"/>
  <c r="E36" i="11" s="1"/>
  <c r="D7" i="2"/>
  <c r="F6" i="2"/>
  <c r="F36" i="11" s="1"/>
  <c r="E7" i="2"/>
  <c r="D9" i="12"/>
  <c r="F9" i="12"/>
  <c r="B24" i="12"/>
  <c r="B25" i="12"/>
  <c r="F11" i="12" l="1"/>
  <c r="F15" i="11"/>
  <c r="D10" i="12"/>
  <c r="C25" i="12"/>
  <c r="F25" i="38"/>
  <c r="F35" i="38"/>
  <c r="F17" i="38"/>
  <c r="E35" i="38"/>
  <c r="E17" i="38"/>
  <c r="E25" i="38"/>
  <c r="D27" i="11"/>
  <c r="D25" i="12"/>
  <c r="I25" i="12"/>
  <c r="B59" i="35"/>
  <c r="G6" i="2"/>
  <c r="G36" i="11" s="1"/>
  <c r="G35" i="11"/>
  <c r="H5" i="2"/>
  <c r="G10" i="2"/>
  <c r="G7" i="2"/>
  <c r="E49" i="11"/>
  <c r="E6" i="11"/>
  <c r="E15" i="11"/>
  <c r="E50" i="11"/>
  <c r="E17" i="12" s="1"/>
  <c r="B6" i="11"/>
  <c r="B49" i="11"/>
  <c r="B7" i="11"/>
  <c r="C9" i="12" s="1"/>
  <c r="B8" i="11"/>
  <c r="C10" i="12" s="1"/>
  <c r="B15" i="11"/>
  <c r="E9" i="12"/>
  <c r="E11" i="12"/>
  <c r="E8" i="11"/>
  <c r="E10" i="12" s="1"/>
  <c r="D58" i="11"/>
  <c r="C62" i="11"/>
  <c r="C21" i="11" s="1"/>
  <c r="G9" i="2"/>
  <c r="F18" i="12"/>
  <c r="F8" i="11"/>
  <c r="F10" i="12" s="1"/>
  <c r="G44" i="11"/>
  <c r="H44" i="11" s="1"/>
  <c r="I44" i="11" s="1"/>
  <c r="E16" i="11"/>
  <c r="C11" i="12"/>
  <c r="D11" i="12"/>
  <c r="C12" i="12"/>
  <c r="C27" i="11"/>
  <c r="D9" i="2"/>
  <c r="G45" i="11"/>
  <c r="H45" i="11" s="1"/>
  <c r="I45" i="11" s="1"/>
  <c r="F7" i="2"/>
  <c r="D11" i="2"/>
  <c r="C67" i="11"/>
  <c r="C12" i="2" s="1"/>
  <c r="C13" i="2" s="1"/>
  <c r="F16" i="11" l="1"/>
  <c r="E27" i="11"/>
  <c r="D73" i="11"/>
  <c r="C15" i="2"/>
  <c r="C72" i="11" s="1"/>
  <c r="B51" i="11"/>
  <c r="B7" i="12"/>
  <c r="B11" i="2"/>
  <c r="B13" i="2" s="1"/>
  <c r="I5" i="2"/>
  <c r="H6" i="2"/>
  <c r="H36" i="11" s="1"/>
  <c r="H35" i="11"/>
  <c r="H10" i="2"/>
  <c r="H9" i="2"/>
  <c r="E18" i="12"/>
  <c r="E12" i="12"/>
  <c r="F12" i="12"/>
  <c r="D67" i="11"/>
  <c r="D12" i="2" s="1"/>
  <c r="D13" i="2" s="1"/>
  <c r="D61" i="11"/>
  <c r="E8" i="12"/>
  <c r="F8" i="12"/>
  <c r="B27" i="11"/>
  <c r="C8" i="12"/>
  <c r="G7" i="11"/>
  <c r="G6" i="11"/>
  <c r="G49" i="11"/>
  <c r="G8" i="11"/>
  <c r="G10" i="12" s="1"/>
  <c r="G50" i="11"/>
  <c r="G17" i="12" s="1"/>
  <c r="G15" i="11"/>
  <c r="G14" i="11"/>
  <c r="E11" i="2"/>
  <c r="E7" i="12"/>
  <c r="D15" i="2" l="1"/>
  <c r="D72" i="11" s="1"/>
  <c r="D16" i="2"/>
  <c r="E73" i="11"/>
  <c r="G11" i="12"/>
  <c r="G9" i="12"/>
  <c r="H7" i="11"/>
  <c r="H6" i="11"/>
  <c r="H49" i="11"/>
  <c r="H50" i="11"/>
  <c r="H17" i="12" s="1"/>
  <c r="H14" i="11"/>
  <c r="H8" i="11"/>
  <c r="H10" i="12" s="1"/>
  <c r="H15" i="11"/>
  <c r="G18" i="12"/>
  <c r="B15" i="2"/>
  <c r="B72" i="11" s="1"/>
  <c r="B74" i="11" s="1"/>
  <c r="C73" i="11"/>
  <c r="B16" i="2"/>
  <c r="F27" i="11"/>
  <c r="G16" i="11"/>
  <c r="G12" i="12"/>
  <c r="I9" i="2"/>
  <c r="I35" i="11"/>
  <c r="I6" i="2"/>
  <c r="I36" i="11" s="1"/>
  <c r="I10" i="2"/>
  <c r="G11" i="2"/>
  <c r="G7" i="12"/>
  <c r="H7" i="2"/>
  <c r="C48" i="11"/>
  <c r="C51" i="11" s="1"/>
  <c r="B11" i="11"/>
  <c r="G8" i="12"/>
  <c r="D62" i="11"/>
  <c r="D21" i="11" s="1"/>
  <c r="E58" i="11"/>
  <c r="C16" i="2"/>
  <c r="B6" i="12" l="1"/>
  <c r="B19" i="2"/>
  <c r="B35" i="2" s="1"/>
  <c r="C24" i="11"/>
  <c r="C19" i="2"/>
  <c r="C35" i="2" s="1"/>
  <c r="C6" i="12"/>
  <c r="I7" i="2"/>
  <c r="G27" i="11"/>
  <c r="H16" i="11"/>
  <c r="H12" i="12"/>
  <c r="I7" i="11"/>
  <c r="I15" i="11"/>
  <c r="I50" i="11"/>
  <c r="I17" i="12" s="1"/>
  <c r="I49" i="11"/>
  <c r="I14" i="11"/>
  <c r="I8" i="11"/>
  <c r="I10" i="12" s="1"/>
  <c r="I6" i="11"/>
  <c r="E67" i="11"/>
  <c r="E12" i="2" s="1"/>
  <c r="E61" i="11"/>
  <c r="C11" i="11"/>
  <c r="D48" i="11"/>
  <c r="D51" i="11" s="1"/>
  <c r="H11" i="12"/>
  <c r="H8" i="12"/>
  <c r="D19" i="2"/>
  <c r="D6" i="12"/>
  <c r="H18" i="12"/>
  <c r="H7" i="12"/>
  <c r="H11" i="2"/>
  <c r="B13" i="12"/>
  <c r="B17" i="11"/>
  <c r="B19" i="11" s="1"/>
  <c r="B22" i="11" s="1"/>
  <c r="C71" i="11"/>
  <c r="C74" i="11" s="1"/>
  <c r="H9" i="12"/>
  <c r="E13" i="2" l="1"/>
  <c r="B74" i="38"/>
  <c r="B75" i="38" s="1"/>
  <c r="B76" i="38" s="1"/>
  <c r="B14" i="12"/>
  <c r="B27" i="12" s="1"/>
  <c r="B30" i="12" s="1"/>
  <c r="B31" i="12" s="1"/>
  <c r="I7" i="12"/>
  <c r="I11" i="2"/>
  <c r="D35" i="2"/>
  <c r="I11" i="12"/>
  <c r="I16" i="11"/>
  <c r="H27" i="11"/>
  <c r="B5" i="11"/>
  <c r="B9" i="11" s="1"/>
  <c r="B12" i="11" s="1"/>
  <c r="C29" i="12"/>
  <c r="E48" i="11"/>
  <c r="E51" i="11" s="1"/>
  <c r="D11" i="11"/>
  <c r="I18" i="12"/>
  <c r="I12" i="12"/>
  <c r="D71" i="11"/>
  <c r="D74" i="11" s="1"/>
  <c r="C17" i="11"/>
  <c r="F58" i="11"/>
  <c r="E62" i="11"/>
  <c r="E21" i="11" s="1"/>
  <c r="I9" i="12"/>
  <c r="B25" i="11"/>
  <c r="B28" i="11"/>
  <c r="F73" i="11"/>
  <c r="E15" i="2"/>
  <c r="E72" i="11" s="1"/>
  <c r="I8" i="12"/>
  <c r="D24" i="11"/>
  <c r="C29" i="11"/>
  <c r="B9" i="38" l="1"/>
  <c r="F19" i="38"/>
  <c r="F37" i="38"/>
  <c r="F27" i="38"/>
  <c r="E37" i="38"/>
  <c r="E19" i="38"/>
  <c r="E27" i="38"/>
  <c r="D29" i="11"/>
  <c r="E71" i="11"/>
  <c r="E74" i="11" s="1"/>
  <c r="D17" i="11"/>
  <c r="E11" i="11"/>
  <c r="F48" i="11"/>
  <c r="F51" i="11" s="1"/>
  <c r="C13" i="12"/>
  <c r="C14" i="12" s="1"/>
  <c r="C27" i="12" s="1"/>
  <c r="C30" i="12" s="1"/>
  <c r="C31" i="12" s="1"/>
  <c r="C19" i="11"/>
  <c r="C22" i="11" s="1"/>
  <c r="I27" i="11"/>
  <c r="E16" i="2"/>
  <c r="F61" i="11"/>
  <c r="F67" i="11"/>
  <c r="F12" i="2" s="1"/>
  <c r="F13" i="2" l="1"/>
  <c r="C74" i="38"/>
  <c r="C75" i="38" s="1"/>
  <c r="C76" i="38" s="1"/>
  <c r="D9" i="38"/>
  <c r="C5" i="11"/>
  <c r="C9" i="11" s="1"/>
  <c r="C12" i="11" s="1"/>
  <c r="D29" i="12"/>
  <c r="E6" i="12"/>
  <c r="E19" i="2"/>
  <c r="E24" i="11"/>
  <c r="F11" i="11"/>
  <c r="G48" i="11"/>
  <c r="G51" i="11" s="1"/>
  <c r="G73" i="11"/>
  <c r="F15" i="2"/>
  <c r="F72" i="11" s="1"/>
  <c r="C28" i="11"/>
  <c r="C25" i="11"/>
  <c r="E17" i="11"/>
  <c r="F71" i="11"/>
  <c r="F74" i="11" s="1"/>
  <c r="F62" i="11"/>
  <c r="F21" i="11" s="1"/>
  <c r="G58" i="11"/>
  <c r="D13" i="12"/>
  <c r="D14" i="12" s="1"/>
  <c r="D27" i="12" s="1"/>
  <c r="D30" i="12" s="1"/>
  <c r="D19" i="11"/>
  <c r="D22" i="11" s="1"/>
  <c r="F18" i="38" l="1"/>
  <c r="F36" i="38"/>
  <c r="F26" i="38"/>
  <c r="E36" i="38"/>
  <c r="E18" i="38"/>
  <c r="E26" i="38"/>
  <c r="D28" i="11"/>
  <c r="B8" i="38"/>
  <c r="E13" i="12"/>
  <c r="E19" i="11"/>
  <c r="E22" i="11" s="1"/>
  <c r="G71" i="11"/>
  <c r="F17" i="11"/>
  <c r="G11" i="11"/>
  <c r="H48" i="11"/>
  <c r="H51" i="11" s="1"/>
  <c r="E29" i="11"/>
  <c r="D25" i="11"/>
  <c r="E14" i="12"/>
  <c r="E27" i="12" s="1"/>
  <c r="E30" i="12" s="1"/>
  <c r="F16" i="2"/>
  <c r="F24" i="11" s="1"/>
  <c r="G67" i="11"/>
  <c r="G12" i="2" s="1"/>
  <c r="G61" i="11"/>
  <c r="D31" i="12"/>
  <c r="G13" i="2" l="1"/>
  <c r="D74" i="38"/>
  <c r="D75" i="38" s="1"/>
  <c r="D76" i="38" s="1"/>
  <c r="D8" i="38"/>
  <c r="D10" i="38" s="1"/>
  <c r="B10" i="38"/>
  <c r="E29" i="12"/>
  <c r="E31" i="12" s="1"/>
  <c r="D5" i="11"/>
  <c r="F20" i="35" s="1"/>
  <c r="H20" i="35" s="1"/>
  <c r="B20" i="35" s="1"/>
  <c r="B21" i="35" s="1"/>
  <c r="B24" i="35" s="1"/>
  <c r="F13" i="12"/>
  <c r="F19" i="11"/>
  <c r="F22" i="11" s="1"/>
  <c r="H73" i="11"/>
  <c r="G15" i="2"/>
  <c r="G72" i="11" s="1"/>
  <c r="G74" i="11" s="1"/>
  <c r="G62" i="11"/>
  <c r="G21" i="11" s="1"/>
  <c r="H58" i="11"/>
  <c r="E25" i="11"/>
  <c r="E28" i="11"/>
  <c r="H11" i="11"/>
  <c r="I48" i="11"/>
  <c r="I51" i="11" s="1"/>
  <c r="I11" i="11" s="1"/>
  <c r="F6" i="12"/>
  <c r="F14" i="12" s="1"/>
  <c r="F27" i="12" s="1"/>
  <c r="F30" i="12" s="1"/>
  <c r="F19" i="2"/>
  <c r="F29" i="11"/>
  <c r="A62" i="38" l="1"/>
  <c r="H71" i="11"/>
  <c r="G17" i="11"/>
  <c r="G16" i="2"/>
  <c r="D9" i="11"/>
  <c r="D12" i="11" s="1"/>
  <c r="B7" i="38" s="1"/>
  <c r="D7" i="38" s="1"/>
  <c r="F25" i="11"/>
  <c r="F28" i="11"/>
  <c r="H67" i="11"/>
  <c r="H12" i="2" s="1"/>
  <c r="H61" i="11"/>
  <c r="E5" i="11"/>
  <c r="E9" i="11" s="1"/>
  <c r="E12" i="11" s="1"/>
  <c r="F29" i="12"/>
  <c r="F31" i="12" s="1"/>
  <c r="H13" i="2" l="1"/>
  <c r="E74" i="38"/>
  <c r="E75" i="38" s="1"/>
  <c r="E76" i="38" s="1"/>
  <c r="H62" i="11"/>
  <c r="H21" i="11" s="1"/>
  <c r="I58" i="11"/>
  <c r="G6" i="12"/>
  <c r="G19" i="2"/>
  <c r="G24" i="11"/>
  <c r="G29" i="12"/>
  <c r="F5" i="11"/>
  <c r="F9" i="11" s="1"/>
  <c r="F12" i="11" s="1"/>
  <c r="H15" i="2"/>
  <c r="H72" i="11" s="1"/>
  <c r="H74" i="11" s="1"/>
  <c r="H16" i="2"/>
  <c r="I73" i="11"/>
  <c r="G13" i="12"/>
  <c r="G19" i="11"/>
  <c r="G22" i="11" s="1"/>
  <c r="I71" i="11" l="1"/>
  <c r="H17" i="11"/>
  <c r="G14" i="12"/>
  <c r="G27" i="12" s="1"/>
  <c r="G30" i="12" s="1"/>
  <c r="G31" i="12" s="1"/>
  <c r="H24" i="11"/>
  <c r="G29" i="11"/>
  <c r="I67" i="11"/>
  <c r="I12" i="2" s="1"/>
  <c r="I61" i="11"/>
  <c r="I62" i="11" s="1"/>
  <c r="I21" i="11" s="1"/>
  <c r="G28" i="11"/>
  <c r="G25" i="11"/>
  <c r="H6" i="12"/>
  <c r="H19" i="2"/>
  <c r="H29" i="11"/>
  <c r="I13" i="2" l="1"/>
  <c r="F74" i="38"/>
  <c r="F75" i="38" s="1"/>
  <c r="F76" i="38" s="1"/>
  <c r="G5" i="11"/>
  <c r="G9" i="11" s="1"/>
  <c r="G12" i="11" s="1"/>
  <c r="H29" i="12"/>
  <c r="H13" i="12"/>
  <c r="H14" i="12" s="1"/>
  <c r="H27" i="12" s="1"/>
  <c r="H30" i="12" s="1"/>
  <c r="H19" i="11"/>
  <c r="H22" i="11" s="1"/>
  <c r="I15" i="2"/>
  <c r="I72" i="11" l="1"/>
  <c r="I74" i="11" s="1"/>
  <c r="I17" i="11" s="1"/>
  <c r="I16" i="2"/>
  <c r="H25" i="11"/>
  <c r="H28" i="11"/>
  <c r="H31" i="12"/>
  <c r="I6" i="12"/>
  <c r="I19" i="2"/>
  <c r="I13" i="12"/>
  <c r="I19" i="11"/>
  <c r="I22" i="11" s="1"/>
  <c r="I24" i="11"/>
  <c r="I29" i="11" s="1"/>
  <c r="I14" i="12" l="1"/>
  <c r="I27" i="12" s="1"/>
  <c r="I30" i="12" s="1"/>
  <c r="I29" i="12"/>
  <c r="I31" i="12" s="1"/>
  <c r="I5" i="11" s="1"/>
  <c r="I9" i="11" s="1"/>
  <c r="I12" i="11" s="1"/>
  <c r="H5" i="11"/>
  <c r="H9" i="11" s="1"/>
  <c r="H12" i="11" s="1"/>
  <c r="I25" i="11"/>
  <c r="I2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Cheung</author>
  </authors>
  <commentList>
    <comment ref="P9" authorId="0" shapeId="0" xr:uid="{00000000-0006-0000-0400-000001000000}">
      <text>
        <r>
          <rPr>
            <b/>
            <sz val="9"/>
            <color indexed="81"/>
            <rFont val="Tahoma"/>
            <family val="2"/>
          </rPr>
          <t>Daniel Cheung:</t>
        </r>
        <r>
          <rPr>
            <sz val="9"/>
            <color indexed="81"/>
            <rFont val="Tahoma"/>
            <family val="2"/>
          </rPr>
          <t xml:space="preserve">
Originially 1.31, make PE more realistic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370265-A733-48AA-97ED-C96C28CCE092}" keepAlive="1" name="Query - Ex  1 Burton BS" description="Connection to the 'Ex  1 Burton BS' query in the workbook." type="5" refreshedVersion="8" background="1">
    <dbPr connection="Provider=Microsoft.Mashup.OleDb.1;Data Source=$Workbook$;Location=Ex  1 Burton BS;Extended Properties=&quot;&quot;" command="SELECT * FROM [Ex  1 Burton BS]"/>
  </connection>
  <connection id="2" xr16:uid="{05B55944-542F-41C5-8D13-37F82EB6E4A3}" keepAlive="1" name="Query - Query" description="Connection to the 'Query' query in the workbook." type="5" refreshedVersion="0" background="1">
    <dbPr connection="Provider=Microsoft.Mashup.OleDb.1;Data Source=$Workbook$;Location=Query;Extended Properties=&quot;&quot;" command="SELECT * FROM [Query]"/>
  </connection>
</connections>
</file>

<file path=xl/sharedStrings.xml><?xml version="1.0" encoding="utf-8"?>
<sst xmlns="http://schemas.openxmlformats.org/spreadsheetml/2006/main" count="707" uniqueCount="436">
  <si>
    <t xml:space="preserve">3. Read the Burton case, then use the case attachment data (next 7 worksheets in this workbook) to: </t>
  </si>
  <si>
    <t>a. Compute the solvency, profitability, and asset management ratios listed below for Burton and EE for 2014-16. (Burton has been completed for you)</t>
  </si>
  <si>
    <t>b. Compute the Dupont Identity ROE components for Burton, EE, and Sensor Industry* (Burton has been completed for you)</t>
  </si>
  <si>
    <t>c. Compute Common Size Income Statements, 2015 and 2016 FCFF, and FCFE for Burton and EE (Burton has been completed for you)</t>
  </si>
  <si>
    <t>Burton</t>
  </si>
  <si>
    <t>EE</t>
  </si>
  <si>
    <t>Growth Rates</t>
  </si>
  <si>
    <t>Sales (% Change)</t>
  </si>
  <si>
    <t>N/A</t>
  </si>
  <si>
    <t>EBITDA (% Change)</t>
  </si>
  <si>
    <t>Net Income (% Change)</t>
  </si>
  <si>
    <t>Total Assets (% Change)</t>
  </si>
  <si>
    <t>Internal Growth Rate</t>
  </si>
  <si>
    <t>ROA*Plow/(1-ROA*Plow)</t>
  </si>
  <si>
    <t>Sustainable Growth Rate</t>
  </si>
  <si>
    <t>ROE*Plow/(1-ROE*Plow)</t>
  </si>
  <si>
    <t>Short-term Solvency</t>
  </si>
  <si>
    <t>Current Ratio</t>
  </si>
  <si>
    <t xml:space="preserve"> CA/CL </t>
  </si>
  <si>
    <t>Quick Ratio</t>
  </si>
  <si>
    <t xml:space="preserve"> (CA-Inv)/CL </t>
  </si>
  <si>
    <t>Cash Ratio</t>
  </si>
  <si>
    <t xml:space="preserve"> Cash/CL </t>
  </si>
  <si>
    <t>Long-term Solvency</t>
  </si>
  <si>
    <t>Liability /Equity Ratio</t>
  </si>
  <si>
    <t xml:space="preserve"> L/E </t>
  </si>
  <si>
    <t>Debt / Equity Ratio</t>
  </si>
  <si>
    <t xml:space="preserve"> D/E</t>
  </si>
  <si>
    <t xml:space="preserve"> Includes loans</t>
  </si>
  <si>
    <t>Net Debt / Equity Ratio</t>
  </si>
  <si>
    <t xml:space="preserve"> (D-cash)/E</t>
  </si>
  <si>
    <t>Equity Multiplier</t>
  </si>
  <si>
    <t xml:space="preserve"> A/E </t>
  </si>
  <si>
    <t>Times Interest Earned</t>
  </si>
  <si>
    <t xml:space="preserve"> EBIT/Int </t>
  </si>
  <si>
    <t xml:space="preserve">EBITDA / Interest </t>
  </si>
  <si>
    <t xml:space="preserve"> EBITDA/Int </t>
  </si>
  <si>
    <t>Cash Coverage Ratio</t>
  </si>
  <si>
    <t xml:space="preserve"> Cash / Int</t>
  </si>
  <si>
    <t>Asset Management</t>
  </si>
  <si>
    <t>Inventory Turnover</t>
  </si>
  <si>
    <t xml:space="preserve"> COGS/Inv </t>
  </si>
  <si>
    <t>Days in Inventory</t>
  </si>
  <si>
    <t xml:space="preserve"> 365/ Inv TO</t>
  </si>
  <si>
    <t>Receivables Turnover</t>
  </si>
  <si>
    <t xml:space="preserve"> Sales/AR</t>
  </si>
  <si>
    <t>Day's Sales in Receivables</t>
  </si>
  <si>
    <t xml:space="preserve"> 365/Rec TO</t>
  </si>
  <si>
    <t>Total Asset Turnover</t>
  </si>
  <si>
    <t xml:space="preserve"> Sales/Assets </t>
  </si>
  <si>
    <t>Profitability Measures</t>
  </si>
  <si>
    <t>(Net) Profit Margin</t>
  </si>
  <si>
    <t xml:space="preserve"> NI/Sales </t>
  </si>
  <si>
    <t>EBITDA/Sales</t>
  </si>
  <si>
    <t xml:space="preserve"> EBITDA/Sales </t>
  </si>
  <si>
    <t>Return on Assets (ROA)</t>
  </si>
  <si>
    <t xml:space="preserve"> NI/Assets </t>
  </si>
  <si>
    <t>DuPont Identity Components of ROE</t>
  </si>
  <si>
    <t>Sensors Industry Average (Weight each component by (company sales in each year) / (total sales for all 4 companies in each year); Excludes Burton and EE</t>
  </si>
  <si>
    <t>x Profit Margin</t>
  </si>
  <si>
    <t>x Equity Multiplier</t>
  </si>
  <si>
    <t>=Return on Equity (ROE)</t>
  </si>
  <si>
    <t>T/O*PM*Mult</t>
  </si>
  <si>
    <t>Other Items</t>
  </si>
  <si>
    <t>EBITDA</t>
  </si>
  <si>
    <t>Plowback Ratio</t>
  </si>
  <si>
    <t>1-(Dividends/NI)</t>
  </si>
  <si>
    <t>Tax Rate</t>
  </si>
  <si>
    <t>Net Working Capital used for FCFs below</t>
  </si>
  <si>
    <t>Include Prepaid Expenses? No.</t>
  </si>
  <si>
    <t>Total Debt used for FCFE below</t>
  </si>
  <si>
    <t>FCFF: Unlevered Free Cash Flows to the Firm</t>
  </si>
  <si>
    <t>EBIT</t>
  </si>
  <si>
    <t>-Tax</t>
  </si>
  <si>
    <t>+Depreciation</t>
  </si>
  <si>
    <t xml:space="preserve">-Capex </t>
  </si>
  <si>
    <t>Hint: Capex is either change in "Fixed Assets at Cost" or Capex values from SOCF if provided.</t>
  </si>
  <si>
    <t>-Change in NWC</t>
  </si>
  <si>
    <t>FCFF =</t>
  </si>
  <si>
    <t>FCFE: Levered Free Cash Flows to Equity</t>
  </si>
  <si>
    <t>Net Income</t>
  </si>
  <si>
    <t>-Capex</t>
  </si>
  <si>
    <t>+Change in Total Debt</t>
  </si>
  <si>
    <t>FCFE =</t>
  </si>
  <si>
    <t>Common Sized Income Statement (high level -- not all line items shown)</t>
  </si>
  <si>
    <t>Sales</t>
  </si>
  <si>
    <t>COGS</t>
  </si>
  <si>
    <t>SG&amp;A</t>
  </si>
  <si>
    <t>Depreciation</t>
  </si>
  <si>
    <t>R&amp;D</t>
  </si>
  <si>
    <t xml:space="preserve">Interest </t>
  </si>
  <si>
    <t>Tax</t>
  </si>
  <si>
    <t>Enterprise Value</t>
  </si>
  <si>
    <t xml:space="preserve"> Burton</t>
  </si>
  <si>
    <t>Perpetual FCFF Growth</t>
  </si>
  <si>
    <t xml:space="preserve"> T=6+</t>
  </si>
  <si>
    <t>Stock Value per Share</t>
  </si>
  <si>
    <t>Discount Rate</t>
  </si>
  <si>
    <t>You may use this table/template if it helps</t>
  </si>
  <si>
    <t> </t>
  </si>
  <si>
    <t>X</t>
  </si>
  <si>
    <t>&lt;=Use tax rate</t>
  </si>
  <si>
    <t>EBIT - Tax</t>
  </si>
  <si>
    <t>+ Dep</t>
  </si>
  <si>
    <t>- CAPEX</t>
  </si>
  <si>
    <t>- Changes in NWC</t>
  </si>
  <si>
    <t>FCFF</t>
  </si>
  <si>
    <t>Terminal Value</t>
  </si>
  <si>
    <t>&lt;=growth perpetuity</t>
  </si>
  <si>
    <t>FCFF + Terminal Value</t>
  </si>
  <si>
    <t>A/R</t>
  </si>
  <si>
    <t>Inventory</t>
  </si>
  <si>
    <t>A/P</t>
  </si>
  <si>
    <t>Accrued Expenses</t>
  </si>
  <si>
    <t>Non-cash NWC</t>
  </si>
  <si>
    <t>Net Debt</t>
  </si>
  <si>
    <t>Equity Value</t>
  </si>
  <si>
    <t>Shares Outstand.</t>
  </si>
  <si>
    <t>Stock Valuation per Share</t>
  </si>
  <si>
    <t>Burton 2016 EPS</t>
  </si>
  <si>
    <t>PE Ratio</t>
  </si>
  <si>
    <t>Burton Stock Value per share</t>
  </si>
  <si>
    <t>FCFF IRR</t>
  </si>
  <si>
    <t>CAPEX</t>
  </si>
  <si>
    <t>T=0</t>
  </si>
  <si>
    <t>FCFF NPV</t>
  </si>
  <si>
    <t>Dep Life</t>
  </si>
  <si>
    <t>FCFF Payback</t>
  </si>
  <si>
    <t>4 years</t>
  </si>
  <si>
    <t>Opex Labor</t>
  </si>
  <si>
    <t>T=1-7</t>
  </si>
  <si>
    <t>Other Opex</t>
  </si>
  <si>
    <t>NWC</t>
  </si>
  <si>
    <t>T=0-6</t>
  </si>
  <si>
    <t>Savings</t>
  </si>
  <si>
    <t>Year</t>
  </si>
  <si>
    <t>Savings (Rev)</t>
  </si>
  <si>
    <t>Opex</t>
  </si>
  <si>
    <t>Dep</t>
  </si>
  <si>
    <t>Change in NWC</t>
  </si>
  <si>
    <t>Unlv FCF</t>
  </si>
  <si>
    <t>FCFE</t>
  </si>
  <si>
    <t>Interest</t>
  </si>
  <si>
    <t>EBT</t>
  </si>
  <si>
    <t>+Dep</t>
  </si>
  <si>
    <t>-CAPEX</t>
  </si>
  <si>
    <t>+/- Loan Principal</t>
  </si>
  <si>
    <t>Payment</t>
  </si>
  <si>
    <t>Loan Beg Balance</t>
  </si>
  <si>
    <t>Principle</t>
  </si>
  <si>
    <t>Ending Balance</t>
  </si>
  <si>
    <t>Change</t>
  </si>
  <si>
    <t>-change</t>
  </si>
  <si>
    <t>Y0</t>
  </si>
  <si>
    <t>Y1</t>
  </si>
  <si>
    <t>Y2</t>
  </si>
  <si>
    <t>Y3</t>
  </si>
  <si>
    <t>Y4</t>
  </si>
  <si>
    <t>Y5</t>
  </si>
  <si>
    <t>Risk Free Rate</t>
  </si>
  <si>
    <t xml:space="preserve"> Long term Treasury rate</t>
  </si>
  <si>
    <t>MRP</t>
  </si>
  <si>
    <t xml:space="preserve"> Expected return on stock market - long term Treasury rate</t>
  </si>
  <si>
    <t>Unl Beta</t>
  </si>
  <si>
    <t>Lev Beta</t>
  </si>
  <si>
    <t>Mkt Cap</t>
  </si>
  <si>
    <t>TEL</t>
  </si>
  <si>
    <t>AME</t>
  </si>
  <si>
    <t>OPS</t>
  </si>
  <si>
    <t>CYBE</t>
  </si>
  <si>
    <t>Industry Unl. Beta</t>
  </si>
  <si>
    <t xml:space="preserve"> Use market cap of each (as a fraction of the total market cap of all 4) to compute weigted average industry unlevered beta</t>
  </si>
  <si>
    <t>Burton Levered</t>
  </si>
  <si>
    <t>Market (Net D)/E</t>
  </si>
  <si>
    <t>Industry Lev. Beta</t>
  </si>
  <si>
    <t>Using Burton Market Value D/E</t>
  </si>
  <si>
    <t>Burton CAPM Ke</t>
  </si>
  <si>
    <t>Kd</t>
  </si>
  <si>
    <t>Burton WACC</t>
  </si>
  <si>
    <t>D/E</t>
  </si>
  <si>
    <t>Kd excl. 3% premium</t>
  </si>
  <si>
    <t>Every $1 of E I have $0.35 D</t>
  </si>
  <si>
    <t>D%</t>
  </si>
  <si>
    <t>E%</t>
  </si>
  <si>
    <t>Lev. Beta</t>
  </si>
  <si>
    <t>Ke excl. 3% premium</t>
  </si>
  <si>
    <t>WACC before Small Risk Premium</t>
  </si>
  <si>
    <t>Small Risk Prem.</t>
  </si>
  <si>
    <t>Private WACC</t>
  </si>
  <si>
    <t>Unlevered Beta</t>
  </si>
  <si>
    <t>Mkt Risk Premium</t>
  </si>
  <si>
    <t>Scenario</t>
  </si>
  <si>
    <t>Mkt D/E</t>
  </si>
  <si>
    <t>WACC</t>
  </si>
  <si>
    <t>Levered Beta</t>
  </si>
  <si>
    <t>Ke</t>
  </si>
  <si>
    <t>E</t>
  </si>
  <si>
    <t>D</t>
  </si>
  <si>
    <t>D+E</t>
  </si>
  <si>
    <t>Optimal D/E</t>
  </si>
  <si>
    <t xml:space="preserve"> Select D/E from above (WACC miminimizing D/E)</t>
  </si>
  <si>
    <t>000's</t>
  </si>
  <si>
    <t>Burton&amp;EE</t>
  </si>
  <si>
    <t>Assets</t>
  </si>
  <si>
    <t>Liabilities</t>
  </si>
  <si>
    <t>Equity</t>
  </si>
  <si>
    <t>L&amp;E</t>
  </si>
  <si>
    <t>Shares</t>
  </si>
  <si>
    <t>Covenant</t>
  </si>
  <si>
    <t>Burton 2016 Before</t>
  </si>
  <si>
    <t>2016 After</t>
  </si>
  <si>
    <t>&lt;.75</t>
  </si>
  <si>
    <t xml:space="preserve"> Bank Covenant</t>
  </si>
  <si>
    <t>&lt;3.0x</t>
  </si>
  <si>
    <t>&lt;1.0x</t>
  </si>
  <si>
    <t xml:space="preserve"> Marshal's Target</t>
  </si>
  <si>
    <t>2016 Before</t>
  </si>
  <si>
    <t>Offer Price</t>
  </si>
  <si>
    <t xml:space="preserve"> per share</t>
  </si>
  <si>
    <t>Valuation / Share</t>
  </si>
  <si>
    <t>Note: This is the valuation using the FCFFs from topic 4 solution and WACC from problem #2 in this assignment.</t>
  </si>
  <si>
    <t>NPV (thousands)</t>
  </si>
  <si>
    <t xml:space="preserve"> in thousands</t>
  </si>
  <si>
    <t>Note: The NPV of a stock issuance compares the offer price of the issued shares and the valuation of the stock (or sometimes the market price)</t>
  </si>
  <si>
    <t>Marshal %</t>
  </si>
  <si>
    <t>EE %</t>
  </si>
  <si>
    <t>A. % After Stock</t>
  </si>
  <si>
    <t xml:space="preserve">N/A </t>
  </si>
  <si>
    <t>B. % After EE</t>
  </si>
  <si>
    <t>C. % After EE&amp;Stock</t>
  </si>
  <si>
    <t xml:space="preserve">Thermowell FCFF NPV @ WACC </t>
  </si>
  <si>
    <t>&lt;= Answer (List year 2017, 18, 19, 20, 21, or "Not in 5-year Horizon))</t>
  </si>
  <si>
    <t>Show Calculation here</t>
  </si>
  <si>
    <t>Fcff</t>
  </si>
  <si>
    <t>FCFF - Interest</t>
  </si>
  <si>
    <t>Cum. FCFF.</t>
  </si>
  <si>
    <t>EE Value/Share</t>
  </si>
  <si>
    <t xml:space="preserve"> Your EE valuation per share using discounted cash flow and EE WACC; show work below for credit</t>
  </si>
  <si>
    <t>Burton Value/Sh</t>
  </si>
  <si>
    <t xml:space="preserve"> Your estimate using Assignment #4 FCFFs and Burton WACC from this assignment</t>
  </si>
  <si>
    <t>EE Offer Price</t>
  </si>
  <si>
    <t>Based on EBITDA multiple provided in case and EE Income Statement</t>
  </si>
  <si>
    <t>EE Offer Price/Sh</t>
  </si>
  <si>
    <t xml:space="preserve"> EE Offer Price / EE Shares Outstanding</t>
  </si>
  <si>
    <t>Exchange Price</t>
  </si>
  <si>
    <t xml:space="preserve"> Burton stock price used to determine the number of Burton shares issued to EE for acquisition of EE</t>
  </si>
  <si>
    <t>Burton Shares Exchanged</t>
  </si>
  <si>
    <t>EE Offer Price / Burton Stock Exchange Price</t>
  </si>
  <si>
    <t>EE Acquisition NPV</t>
  </si>
  <si>
    <t xml:space="preserve"> in Thousands; based on valuation and offer price of EE; =(EE Valuation/Sh - Offer/Sh)*Shares</t>
  </si>
  <si>
    <t>EE Exchange NPV</t>
  </si>
  <si>
    <t xml:space="preserve"> in Thousands; based on valuation and exchange price of Burton; = (Exchange Price - Burton Valuation/Sh)*(Burton Shares issued for EE Acquisition)</t>
  </si>
  <si>
    <t>EE Total NPV</t>
  </si>
  <si>
    <t xml:space="preserve"> in Thousands; = Acquisition NPV + Exchange NPV</t>
  </si>
  <si>
    <t>All-in NPV</t>
  </si>
  <si>
    <t>Total NPV above less 9% fees applied to deal value (EE offer price)</t>
  </si>
  <si>
    <t>Show Burton Valuation of EE Below for Credit:</t>
  </si>
  <si>
    <t>Net sales</t>
  </si>
  <si>
    <t>Gross profit</t>
  </si>
  <si>
    <t>+ Depr</t>
  </si>
  <si>
    <t>SG&amp;A expense</t>
  </si>
  <si>
    <t>- Change in NWC</t>
  </si>
  <si>
    <t>R&amp;D expense</t>
  </si>
  <si>
    <t>Depreciation and amortization</t>
  </si>
  <si>
    <t>FCFF + TV</t>
  </si>
  <si>
    <t>NPV</t>
  </si>
  <si>
    <t>Interest expense</t>
  </si>
  <si>
    <t>Pretax income (loss)</t>
  </si>
  <si>
    <t>Cash</t>
  </si>
  <si>
    <t>Inventoey</t>
  </si>
  <si>
    <t>Income taxes</t>
  </si>
  <si>
    <t>Prepaid Exp</t>
  </si>
  <si>
    <t>Net income</t>
  </si>
  <si>
    <t>- A/P</t>
  </si>
  <si>
    <t>Number of common shares (thousands)</t>
  </si>
  <si>
    <t>- Accrued Expenses</t>
  </si>
  <si>
    <t>Earnings per share</t>
  </si>
  <si>
    <t>Cash dividend per share</t>
  </si>
  <si>
    <t>Industry Unlv Beta</t>
  </si>
  <si>
    <t>Sales Growth</t>
  </si>
  <si>
    <t>COGS as % of Sales</t>
  </si>
  <si>
    <t>Market Cap</t>
  </si>
  <si>
    <t>SGA as % of Sales</t>
  </si>
  <si>
    <t>RD as %</t>
  </si>
  <si>
    <t>Depr</t>
  </si>
  <si>
    <t>Cash and equivalents</t>
  </si>
  <si>
    <t>Accounts receivable</t>
  </si>
  <si>
    <t>Prepaid expenses</t>
  </si>
  <si>
    <t>Current assets</t>
  </si>
  <si>
    <t>Net PP&amp;E</t>
  </si>
  <si>
    <t>Total assets</t>
  </si>
  <si>
    <t>Bank loans</t>
  </si>
  <si>
    <t>Accounts payable</t>
  </si>
  <si>
    <t>Accrued expenses</t>
  </si>
  <si>
    <t>Total Liabilities</t>
  </si>
  <si>
    <t>Shareholders' equity</t>
  </si>
  <si>
    <t>Total liabilities and equity</t>
  </si>
  <si>
    <t>Avr</t>
  </si>
  <si>
    <t>Cash as a %</t>
  </si>
  <si>
    <t>A/R as a %</t>
  </si>
  <si>
    <t>Inventory as a%</t>
  </si>
  <si>
    <t>A/P as a %</t>
  </si>
  <si>
    <t>Accrued expenses as a %</t>
  </si>
  <si>
    <t>Prepaid Expenses as a %</t>
  </si>
  <si>
    <t>Investing Activities</t>
  </si>
  <si>
    <t>Less: capex</t>
  </si>
  <si>
    <t>Investing activities -  net cash flow</t>
  </si>
  <si>
    <t>As a %</t>
  </si>
  <si>
    <t>combined financials if Burton acquires EE at the end of 2016 for $6.867 million cash by issuing additional Burton stock at a price of $4.75/share.</t>
  </si>
  <si>
    <t>The impact of Burton's EE acquisition on the bank covenants and Marshall's target</t>
  </si>
  <si>
    <t>Bank loan / (receivables + inventory)</t>
  </si>
  <si>
    <t>Liabilities / book equity</t>
  </si>
  <si>
    <t>5.5x</t>
  </si>
  <si>
    <t>1.1x</t>
  </si>
  <si>
    <t>Total interest-bearing debt / book equity</t>
  </si>
  <si>
    <t>4.1x</t>
  </si>
  <si>
    <t>0.80x</t>
  </si>
  <si>
    <t>Burton, EE, Thermowells, Stock</t>
  </si>
  <si>
    <t>2315 </t>
  </si>
  <si>
    <t>2825 </t>
  </si>
  <si>
    <t>3,277 </t>
  </si>
  <si>
    <t>3,539 </t>
  </si>
  <si>
    <t>3,751 </t>
  </si>
  <si>
    <t>3,977 </t>
  </si>
  <si>
    <t>2436 </t>
  </si>
  <si>
    <t>2,998 </t>
  </si>
  <si>
    <t>3,478 </t>
  </si>
  <si>
    <t>3,756 </t>
  </si>
  <si>
    <t>3,981 </t>
  </si>
  <si>
    <t>4,220 </t>
  </si>
  <si>
    <t>Cash </t>
  </si>
  <si>
    <t>Offer price</t>
  </si>
  <si>
    <t xml:space="preserve">Exhibit 1 </t>
  </si>
  <si>
    <t>Burton Sensors Consolidated Balance Sheets (Actual/Projected), 2014-2021 (Fiscal years ending December 31; U.S. $000s)</t>
  </si>
  <si>
    <t>(24.5% of projected sales)</t>
  </si>
  <si>
    <t>(26% of projected sales)</t>
  </si>
  <si>
    <t>Other current assets</t>
  </si>
  <si>
    <t>(4% of projected sales)</t>
  </si>
  <si>
    <t>(12% of projected sales)</t>
  </si>
  <si>
    <t>(6.2% of projected sales)</t>
  </si>
  <si>
    <t>Deferred taxes</t>
  </si>
  <si>
    <t>Long-term debt, current portion</t>
  </si>
  <si>
    <t>Current Liabilities</t>
  </si>
  <si>
    <t>Long-term debt</t>
  </si>
  <si>
    <t>Total liabilities</t>
  </si>
  <si>
    <t>Tables below are not shown in case</t>
  </si>
  <si>
    <t>Working Capital Assumptions (U.S. $ thousands)</t>
  </si>
  <si>
    <t>Income Statement Metrics</t>
  </si>
  <si>
    <t>Revenue</t>
  </si>
  <si>
    <t>Cost of Goods Sold</t>
  </si>
  <si>
    <t>Working Capital Ratios</t>
  </si>
  <si>
    <t>Accounts receivable (% Sales)</t>
  </si>
  <si>
    <t>Inventory (% Sales)</t>
  </si>
  <si>
    <t>Accounts payable (% Sales)</t>
  </si>
  <si>
    <t>Other Activity Ratios</t>
  </si>
  <si>
    <t>Other Current Assets (% Sales)</t>
  </si>
  <si>
    <t>Accrued Expenses (% Sales)</t>
  </si>
  <si>
    <t>PP&amp;E (Beginning)</t>
  </si>
  <si>
    <t>Less: Depreciation</t>
  </si>
  <si>
    <t>Add: CapEx &amp; Purchase of PP&amp;E</t>
  </si>
  <si>
    <t>PP&amp;E (Ending)</t>
  </si>
  <si>
    <t>Depreciation (% Sales)</t>
  </si>
  <si>
    <t>CapEx (% Sales)</t>
  </si>
  <si>
    <t>Long-Term Debt Schedule (U.S. $ thousands)</t>
  </si>
  <si>
    <t>Beginning balance (with current portion)</t>
  </si>
  <si>
    <t>Add: issuances</t>
  </si>
  <si>
    <t>Less: retirements</t>
  </si>
  <si>
    <t>Ending balance (with current portion)</t>
  </si>
  <si>
    <t>Ending balance (without current portion)</t>
  </si>
  <si>
    <t>Current portion of long-term debt</t>
  </si>
  <si>
    <t>Interest rate as % of beginning balance</t>
  </si>
  <si>
    <t>Interest payment</t>
  </si>
  <si>
    <t>Deferred Tax Schedule (U.S. $ thousands)</t>
  </si>
  <si>
    <t>Beg. accrued taxes</t>
  </si>
  <si>
    <t>Accrual of taxes</t>
  </si>
  <si>
    <t>Tax payments</t>
  </si>
  <si>
    <t>End. accrued taxes</t>
  </si>
  <si>
    <t>Tax payments as % of previous year's EBT</t>
  </si>
  <si>
    <t xml:space="preserve">Exhibit 2 </t>
  </si>
  <si>
    <t>Burton Sensors Consolidated Income Statements (Actual/Projected), 2014-2021 (Fiscal years ending December 31; U.S. $000s)</t>
  </si>
  <si>
    <t>(43% of projected sales)</t>
  </si>
  <si>
    <t>(35% of projected sales)</t>
  </si>
  <si>
    <t>(10% of projected sales)</t>
  </si>
  <si>
    <r>
      <t>Net interest expense (income)</t>
    </r>
    <r>
      <rPr>
        <vertAlign val="superscript"/>
        <sz val="10"/>
        <color theme="1"/>
        <rFont val="Book Antiqua"/>
        <family val="1"/>
      </rPr>
      <t>*</t>
    </r>
  </si>
  <si>
    <t>(35% of projected EBT)</t>
  </si>
  <si>
    <r>
      <rPr>
        <vertAlign val="superscript"/>
        <sz val="10"/>
        <rFont val="Book Antiqua"/>
        <family val="1"/>
      </rPr>
      <t>*</t>
    </r>
    <r>
      <rPr>
        <sz val="10"/>
        <rFont val="Book Antiqua"/>
        <family val="1"/>
      </rPr>
      <t xml:space="preserve"> Burton pays an average of 5.5% interest on all interest bearing debt.</t>
    </r>
  </si>
  <si>
    <t>Assumptions</t>
  </si>
  <si>
    <t>Revenue growth</t>
  </si>
  <si>
    <t>Items as a % of Revenue</t>
  </si>
  <si>
    <t>Tax rate</t>
  </si>
  <si>
    <t>Payout ratio</t>
  </si>
  <si>
    <t xml:space="preserve">Exhibit 3 </t>
  </si>
  <si>
    <t>Burton Sensors Consolidated Statement of Cash Flows (Actual/Projected), 2014-2021 (Fiscal years ending December 31; U.S. $000s)</t>
  </si>
  <si>
    <t>Operating Activities</t>
  </si>
  <si>
    <t>Less: increase (decrease) in accounts receivable</t>
  </si>
  <si>
    <t>Less: increase (decrease) in inventory</t>
  </si>
  <si>
    <t>Less: increase (decrease) in other current assets</t>
  </si>
  <si>
    <t>Add: increase (decrease) in accounts payable</t>
  </si>
  <si>
    <t>Add: increase (decrease) in accrued expenses</t>
  </si>
  <si>
    <t>Add: increase (decrease) in deferred taxes</t>
  </si>
  <si>
    <t>Operating activities -  net cash flow</t>
  </si>
  <si>
    <t>Financing Activities</t>
  </si>
  <si>
    <t>Add: changes in bank borrowings</t>
  </si>
  <si>
    <t>Add: long-term debt net issuance</t>
  </si>
  <si>
    <t>Add: net issuance of common stock</t>
  </si>
  <si>
    <t>Less: cash dividend</t>
  </si>
  <si>
    <t>Financing activities -  net cash flow</t>
  </si>
  <si>
    <t>Total net cash flow</t>
  </si>
  <si>
    <t>Beginning cash</t>
  </si>
  <si>
    <t>Change in cash</t>
  </si>
  <si>
    <t>Ending cash</t>
  </si>
  <si>
    <t xml:space="preserve">Exhibit 4 </t>
  </si>
  <si>
    <t>Comparative Data on Four Publically Traded Sensor Manufacturers, 2014-2016 (U.S. $ millions)</t>
  </si>
  <si>
    <t>TE Connectivity (TEL)</t>
  </si>
  <si>
    <t>Ametek (AME)</t>
  </si>
  <si>
    <t>Opsens (OPS)</t>
  </si>
  <si>
    <t>Cyberoptics (CYBE)</t>
  </si>
  <si>
    <t>Operating profit</t>
  </si>
  <si>
    <t>Total debt</t>
  </si>
  <si>
    <t>Operating margin</t>
  </si>
  <si>
    <t>Profit margin</t>
  </si>
  <si>
    <t>Shares outstanding</t>
  </si>
  <si>
    <t>Market capitalization</t>
  </si>
  <si>
    <t>Equity beta*</t>
  </si>
  <si>
    <t>EPS</t>
  </si>
  <si>
    <t>P/E</t>
  </si>
  <si>
    <t>D/Marketcap</t>
  </si>
  <si>
    <t>*Based on previous five years</t>
  </si>
  <si>
    <t xml:space="preserve">Exhibit 5 </t>
  </si>
  <si>
    <t>Electro-Engineering Consolidated Balance Sheets (Actual), 2014-2016 (Fiscal years ending December 31; U.S. $000s)</t>
  </si>
  <si>
    <t xml:space="preserve">Exhibit 6 </t>
  </si>
  <si>
    <t>Electro-Engineering Consolidated Income Statements (Actual), 2014-2016 (Fiscal years ending December 31; U.S. $000s)</t>
  </si>
  <si>
    <t xml:space="preserve">Exhibit 7 </t>
  </si>
  <si>
    <t>Electro-Engineering Consolidated Statement of Cash Flows (Actual), 2014-2016 (Fiscal years ending December 31; U.S. $000s)</t>
  </si>
  <si>
    <t>Less: increase (decrease) in prepaid expenses</t>
  </si>
  <si>
    <t>Add: debt net issuance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</si>
</sst>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44" formatCode="_(&quot;$&quot;* #,##0.00_);_(&quot;$&quot;* \(#,##0.00\);_(&quot;$&quot;* &quot;-&quot;??_);_(@_)"/>
    <numFmt numFmtId="43" formatCode="_(* #,##0.00_);_(* \(#,##0.00\);_(* &quot;-&quot;??_);_(@_)"/>
    <numFmt numFmtId="164" formatCode="yyyy&quot;E&quot;"/>
    <numFmt numFmtId="165" formatCode="yyyy&quot;A&quot;"/>
    <numFmt numFmtId="166" formatCode="0.0"/>
    <numFmt numFmtId="167" formatCode="#,##0.0_);\(#,##0.0\)"/>
    <numFmt numFmtId="168" formatCode="#,##0.0"/>
    <numFmt numFmtId="169" formatCode="0.0\x"/>
    <numFmt numFmtId="170" formatCode="0.0%"/>
    <numFmt numFmtId="171" formatCode="0.0000"/>
    <numFmt numFmtId="172" formatCode="0.00000"/>
    <numFmt numFmtId="173" formatCode="0&quot; days&quot;"/>
    <numFmt numFmtId="174" formatCode="#,##0.0%;\(#,##0.0%\);\-"/>
    <numFmt numFmtId="175" formatCode="#,##0.00_);&quot;NA&quot;;\-"/>
    <numFmt numFmtId="176" formatCode="#,##0.00_);\(#,##0.00\);\-"/>
    <numFmt numFmtId="177" formatCode="_(* #,##0.0_);_(* \(#,##0.0\);_(* &quot;-&quot;??_);_(@_)"/>
    <numFmt numFmtId="178" formatCode="_(&quot;$&quot;* #,##0_);_(&quot;$&quot;* \(#,##0\);_(&quot;$&quot;* &quot;-&quot;??_);_(@_)"/>
    <numFmt numFmtId="179" formatCode="_(* #,##0_);_(* \(#,##0\);_(* &quot;-&quot;??_);_(@_)"/>
    <numFmt numFmtId="180" formatCode="#,##0_);\(#,##0\);\-"/>
    <numFmt numFmtId="181" formatCode="#,##0.00000_);\(#,##0.00000\)"/>
    <numFmt numFmtId="182" formatCode="_(* #,##0.0000_);_(* \(#,##0.0000\);_(* &quot;-&quot;??_);_(@_)"/>
    <numFmt numFmtId="183" formatCode="0.00\x"/>
    <numFmt numFmtId="184" formatCode="0.000%"/>
    <numFmt numFmtId="185" formatCode="0.0000%"/>
  </numFmts>
  <fonts count="40" x14ac:knownFonts="1">
    <font>
      <sz val="12"/>
      <color theme="1"/>
      <name val="Calibri"/>
      <family val="2"/>
      <scheme val="minor"/>
    </font>
    <font>
      <sz val="11"/>
      <color theme="1"/>
      <name val="Calibri"/>
      <family val="2"/>
      <scheme val="minor"/>
    </font>
    <font>
      <sz val="10"/>
      <name val="Arial"/>
      <family val="2"/>
    </font>
    <font>
      <sz val="1"/>
      <color indexed="9"/>
      <name val="Symbol"/>
      <family val="1"/>
      <charset val="2"/>
    </font>
    <font>
      <sz val="12"/>
      <color theme="1"/>
      <name val="Calibri"/>
      <family val="2"/>
      <scheme val="minor"/>
    </font>
    <font>
      <sz val="9"/>
      <color theme="1"/>
      <name val="Calibri"/>
      <family val="2"/>
      <scheme val="minor"/>
    </font>
    <font>
      <sz val="9"/>
      <color theme="1"/>
      <name val="Times New Roman"/>
      <family val="1"/>
    </font>
    <font>
      <b/>
      <sz val="9"/>
      <color indexed="81"/>
      <name val="Tahoma"/>
      <family val="2"/>
    </font>
    <font>
      <sz val="9"/>
      <color indexed="81"/>
      <name val="Tahoma"/>
      <family val="2"/>
    </font>
    <font>
      <sz val="10"/>
      <color theme="1"/>
      <name val="Times New Roman"/>
      <family val="1"/>
    </font>
    <font>
      <b/>
      <sz val="10"/>
      <color theme="1"/>
      <name val="Book Antiqua"/>
      <family val="1"/>
    </font>
    <font>
      <sz val="10"/>
      <color theme="1"/>
      <name val="Book Antiqua"/>
      <family val="1"/>
    </font>
    <font>
      <sz val="10"/>
      <name val="Book Antiqua"/>
      <family val="1"/>
    </font>
    <font>
      <b/>
      <i/>
      <sz val="10"/>
      <color theme="1"/>
      <name val="Book Antiqua"/>
      <family val="1"/>
    </font>
    <font>
      <b/>
      <sz val="10"/>
      <name val="Book Antiqua"/>
      <family val="1"/>
    </font>
    <font>
      <vertAlign val="superscript"/>
      <sz val="10"/>
      <color theme="1"/>
      <name val="Book Antiqua"/>
      <family val="1"/>
    </font>
    <font>
      <vertAlign val="superscript"/>
      <sz val="10"/>
      <name val="Book Antiqua"/>
      <family val="1"/>
    </font>
    <font>
      <b/>
      <u/>
      <sz val="10"/>
      <name val="Book Antiqua"/>
      <family val="1"/>
    </font>
    <font>
      <sz val="10"/>
      <color rgb="FFFF0000"/>
      <name val="Book Antiqua"/>
      <family val="1"/>
    </font>
    <font>
      <sz val="9"/>
      <name val="Calibri"/>
      <family val="2"/>
      <scheme val="minor"/>
    </font>
    <font>
      <sz val="10"/>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b/>
      <sz val="12"/>
      <color theme="1"/>
      <name val="Calibri"/>
      <family val="2"/>
      <scheme val="minor"/>
    </font>
    <font>
      <b/>
      <sz val="11"/>
      <color rgb="FFFA7D00"/>
      <name val="Calibri"/>
      <family val="2"/>
      <scheme val="minor"/>
    </font>
    <font>
      <sz val="12"/>
      <color rgb="FF000000"/>
      <name val="Calibri"/>
      <family val="2"/>
    </font>
    <font>
      <sz val="11"/>
      <color rgb="FF3F3F76"/>
      <name val="Calibri"/>
      <family val="2"/>
    </font>
    <font>
      <b/>
      <sz val="11"/>
      <color rgb="FF3F3F3F"/>
      <name val="Calibri"/>
      <family val="2"/>
    </font>
    <font>
      <b/>
      <sz val="11"/>
      <color rgb="FFFA7D00"/>
      <name val="Calibri"/>
      <family val="2"/>
    </font>
    <font>
      <b/>
      <sz val="11"/>
      <color rgb="FF000000"/>
      <name val="Calibri"/>
      <family val="2"/>
    </font>
    <font>
      <sz val="11"/>
      <color rgb="FF000000"/>
      <name val="Calibri"/>
      <family val="2"/>
    </font>
    <font>
      <b/>
      <sz val="10"/>
      <color rgb="FF000000"/>
      <name val="Book Antiqua"/>
      <family val="1"/>
    </font>
    <font>
      <sz val="10"/>
      <color rgb="FF000000"/>
      <name val="Book Antiqua"/>
      <family val="1"/>
    </font>
    <font>
      <sz val="11"/>
      <color rgb="FF000000"/>
      <name val="Calibri"/>
      <family val="2"/>
      <charset val="1"/>
    </font>
    <font>
      <sz val="12"/>
      <color rgb="FF000000"/>
      <name val="Calibri"/>
      <family val="2"/>
      <charset val="1"/>
    </font>
    <font>
      <b/>
      <sz val="11"/>
      <color rgb="FFFA7D00"/>
      <name val="Calibri"/>
      <family val="2"/>
      <charset val="1"/>
    </font>
    <font>
      <b/>
      <sz val="11"/>
      <color rgb="FFFF0000"/>
      <name val="Calibri"/>
      <family val="2"/>
      <charset val="1"/>
    </font>
    <font>
      <b/>
      <sz val="11"/>
      <color rgb="FFFA7D00"/>
      <name val="Calibri"/>
      <family val="2"/>
    </font>
    <font>
      <sz val="11"/>
      <color rgb="FF242424"/>
      <name val="Aptos Narrow"/>
    </font>
  </fonts>
  <fills count="12">
    <fill>
      <patternFill patternType="none"/>
    </fill>
    <fill>
      <patternFill patternType="gray125"/>
    </fill>
    <fill>
      <patternFill patternType="solid">
        <fgColor theme="2"/>
        <bgColor indexed="64"/>
      </patternFill>
    </fill>
    <fill>
      <patternFill patternType="solid">
        <fgColor rgb="FFFFCC99"/>
      </patternFill>
    </fill>
    <fill>
      <patternFill patternType="solid">
        <fgColor rgb="FFF2F2F2"/>
      </patternFill>
    </fill>
    <fill>
      <patternFill patternType="solid">
        <fgColor rgb="FFFFFF00"/>
        <bgColor indexed="64"/>
      </patternFill>
    </fill>
    <fill>
      <patternFill patternType="solid">
        <fgColor rgb="FFFFC000"/>
        <bgColor indexed="64"/>
      </patternFill>
    </fill>
    <fill>
      <patternFill patternType="solid">
        <fgColor rgb="FFFFCC99"/>
        <bgColor rgb="FF000000"/>
      </patternFill>
    </fill>
    <fill>
      <patternFill patternType="solid">
        <fgColor rgb="FFF2F2F2"/>
        <bgColor rgb="FF000000"/>
      </patternFill>
    </fill>
    <fill>
      <patternFill patternType="solid">
        <fgColor rgb="FFFFFF00"/>
        <bgColor rgb="FF000000"/>
      </patternFill>
    </fill>
    <fill>
      <patternFill patternType="solid">
        <fgColor rgb="FFF2F2F2"/>
        <bgColor indexed="64"/>
      </patternFill>
    </fill>
    <fill>
      <patternFill patternType="solid">
        <fgColor theme="0"/>
        <bgColor indexed="64"/>
      </patternFill>
    </fill>
  </fills>
  <borders count="2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style="thin">
        <color rgb="FF7F7F7F"/>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FA7D00"/>
      </right>
      <top style="thin">
        <color rgb="FFFA7D00"/>
      </top>
      <bottom style="thin">
        <color rgb="FFFA7D00"/>
      </bottom>
      <diagonal/>
    </border>
    <border>
      <left style="thin">
        <color rgb="FF000000"/>
      </left>
      <right style="thin">
        <color rgb="FF000000"/>
      </right>
      <top/>
      <bottom style="thin">
        <color rgb="FF000000"/>
      </bottom>
      <diagonal/>
    </border>
    <border>
      <left/>
      <right style="thin">
        <color rgb="FFFA7D00"/>
      </right>
      <top/>
      <bottom style="thin">
        <color rgb="FFFA7D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bottom style="thin">
        <color rgb="FF000000"/>
      </bottom>
      <diagonal/>
    </border>
  </borders>
  <cellStyleXfs count="10">
    <xf numFmtId="0" fontId="0" fillId="0" borderId="0"/>
    <xf numFmtId="0" fontId="2" fillId="0" borderId="0"/>
    <xf numFmtId="0" fontId="3" fillId="0" borderId="0" applyAlignment="0"/>
    <xf numFmtId="9" fontId="4" fillId="0" borderId="0" applyFont="0" applyFill="0" applyBorder="0" applyAlignment="0" applyProtection="0"/>
    <xf numFmtId="0" fontId="1" fillId="0" borderId="0"/>
    <xf numFmtId="43" fontId="4" fillId="0" borderId="0" applyFont="0" applyFill="0" applyBorder="0" applyAlignment="0" applyProtection="0"/>
    <xf numFmtId="44" fontId="4" fillId="0" borderId="0" applyFont="0" applyFill="0" applyBorder="0" applyAlignment="0" applyProtection="0"/>
    <xf numFmtId="0" fontId="21" fillId="3" borderId="5" applyNumberFormat="0" applyAlignment="0" applyProtection="0"/>
    <xf numFmtId="0" fontId="22" fillId="4" borderId="6" applyNumberFormat="0" applyAlignment="0" applyProtection="0"/>
    <xf numFmtId="0" fontId="23" fillId="4" borderId="5" applyNumberFormat="0" applyAlignment="0" applyProtection="0"/>
  </cellStyleXfs>
  <cellXfs count="236">
    <xf numFmtId="0" fontId="0" fillId="0" borderId="0" xfId="0"/>
    <xf numFmtId="0" fontId="5" fillId="0" borderId="0" xfId="0" applyFont="1"/>
    <xf numFmtId="167" fontId="6" fillId="0" borderId="0" xfId="0" applyNumberFormat="1" applyFont="1"/>
    <xf numFmtId="171" fontId="5" fillId="0" borderId="0" xfId="0" applyNumberFormat="1" applyFont="1"/>
    <xf numFmtId="172" fontId="5" fillId="0" borderId="0" xfId="0" applyNumberFormat="1" applyFont="1"/>
    <xf numFmtId="0" fontId="6" fillId="0" borderId="0" xfId="0" applyFont="1"/>
    <xf numFmtId="166" fontId="5" fillId="0" borderId="0" xfId="0" applyNumberFormat="1" applyFont="1"/>
    <xf numFmtId="0" fontId="9" fillId="0" borderId="0" xfId="0" applyFont="1"/>
    <xf numFmtId="0" fontId="10" fillId="0" borderId="1" xfId="0" applyFont="1" applyBorder="1"/>
    <xf numFmtId="0" fontId="11" fillId="0" borderId="1" xfId="0" applyFont="1" applyBorder="1"/>
    <xf numFmtId="165" fontId="10" fillId="0" borderId="1" xfId="0" applyNumberFormat="1" applyFont="1" applyBorder="1" applyAlignment="1">
      <alignment horizontal="center"/>
    </xf>
    <xf numFmtId="164" fontId="10" fillId="0" borderId="1" xfId="0" applyNumberFormat="1" applyFont="1" applyBorder="1" applyAlignment="1">
      <alignment horizontal="center"/>
    </xf>
    <xf numFmtId="0" fontId="11" fillId="0" borderId="0" xfId="0" applyFont="1"/>
    <xf numFmtId="168" fontId="11" fillId="0" borderId="0" xfId="0" applyNumberFormat="1" applyFont="1"/>
    <xf numFmtId="168" fontId="11" fillId="0" borderId="1" xfId="0" applyNumberFormat="1" applyFont="1" applyBorder="1"/>
    <xf numFmtId="0" fontId="11" fillId="0" borderId="2" xfId="0" applyFont="1" applyBorder="1"/>
    <xf numFmtId="168" fontId="11" fillId="0" borderId="2" xfId="0" applyNumberFormat="1" applyFont="1" applyBorder="1"/>
    <xf numFmtId="0" fontId="11" fillId="0" borderId="3" xfId="0" applyFont="1" applyBorder="1"/>
    <xf numFmtId="4" fontId="11" fillId="0" borderId="3" xfId="0" applyNumberFormat="1" applyFont="1" applyBorder="1"/>
    <xf numFmtId="169" fontId="11" fillId="0" borderId="0" xfId="0" applyNumberFormat="1" applyFont="1"/>
    <xf numFmtId="169" fontId="11" fillId="0" borderId="1" xfId="0" applyNumberFormat="1" applyFont="1" applyBorder="1"/>
    <xf numFmtId="169" fontId="12" fillId="0" borderId="0" xfId="0" applyNumberFormat="1" applyFont="1"/>
    <xf numFmtId="0" fontId="13" fillId="0" borderId="0" xfId="0" applyFont="1"/>
    <xf numFmtId="166" fontId="11" fillId="0" borderId="0" xfId="0" applyNumberFormat="1" applyFont="1"/>
    <xf numFmtId="0" fontId="10" fillId="0" borderId="0" xfId="0" applyFont="1"/>
    <xf numFmtId="0" fontId="12" fillId="0" borderId="2" xfId="0" applyFont="1" applyBorder="1"/>
    <xf numFmtId="165" fontId="14" fillId="0" borderId="2" xfId="0" applyNumberFormat="1" applyFont="1" applyBorder="1" applyAlignment="1">
      <alignment horizontal="center"/>
    </xf>
    <xf numFmtId="164" fontId="14" fillId="0" borderId="2" xfId="0" applyNumberFormat="1" applyFont="1" applyBorder="1" applyAlignment="1">
      <alignment horizontal="center"/>
    </xf>
    <xf numFmtId="167" fontId="11" fillId="0" borderId="0" xfId="0" applyNumberFormat="1" applyFont="1"/>
    <xf numFmtId="167" fontId="12" fillId="0" borderId="0" xfId="0" applyNumberFormat="1" applyFont="1"/>
    <xf numFmtId="167" fontId="12" fillId="0" borderId="1" xfId="0" applyNumberFormat="1" applyFont="1" applyBorder="1"/>
    <xf numFmtId="167" fontId="11" fillId="0" borderId="1" xfId="0" applyNumberFormat="1" applyFont="1" applyBorder="1"/>
    <xf numFmtId="0" fontId="12" fillId="0" borderId="1" xfId="0" applyFont="1" applyBorder="1"/>
    <xf numFmtId="37" fontId="11" fillId="0" borderId="0" xfId="0" applyNumberFormat="1" applyFont="1"/>
    <xf numFmtId="39" fontId="11" fillId="0" borderId="0" xfId="0" applyNumberFormat="1" applyFont="1"/>
    <xf numFmtId="37" fontId="11" fillId="0" borderId="1" xfId="0" applyNumberFormat="1" applyFont="1" applyBorder="1"/>
    <xf numFmtId="0" fontId="12" fillId="0" borderId="0" xfId="0" applyFont="1"/>
    <xf numFmtId="0" fontId="14" fillId="0" borderId="0" xfId="0" applyFont="1"/>
    <xf numFmtId="0" fontId="14" fillId="0" borderId="2" xfId="0" applyFont="1" applyBorder="1"/>
    <xf numFmtId="0" fontId="17" fillId="0" borderId="0" xfId="0" applyFont="1"/>
    <xf numFmtId="174" fontId="12" fillId="0" borderId="1" xfId="3" applyNumberFormat="1" applyFont="1" applyBorder="1"/>
    <xf numFmtId="0" fontId="14" fillId="0" borderId="1" xfId="0" applyFont="1" applyBorder="1"/>
    <xf numFmtId="165" fontId="14" fillId="0" borderId="1" xfId="0" applyNumberFormat="1" applyFont="1" applyBorder="1" applyAlignment="1">
      <alignment horizontal="center"/>
    </xf>
    <xf numFmtId="164" fontId="14" fillId="0" borderId="1" xfId="0" applyNumberFormat="1" applyFont="1" applyBorder="1" applyAlignment="1">
      <alignment horizontal="center"/>
    </xf>
    <xf numFmtId="167" fontId="14" fillId="0" borderId="1" xfId="0" applyNumberFormat="1" applyFont="1" applyBorder="1"/>
    <xf numFmtId="167" fontId="10" fillId="0" borderId="1" xfId="0" applyNumberFormat="1" applyFont="1" applyBorder="1"/>
    <xf numFmtId="0" fontId="18" fillId="0" borderId="0" xfId="0" applyFont="1"/>
    <xf numFmtId="176" fontId="11" fillId="0" borderId="0" xfId="0" applyNumberFormat="1" applyFont="1"/>
    <xf numFmtId="2" fontId="11" fillId="0" borderId="0" xfId="0" applyNumberFormat="1" applyFont="1"/>
    <xf numFmtId="175" fontId="11" fillId="0" borderId="0" xfId="0" applyNumberFormat="1" applyFont="1"/>
    <xf numFmtId="175" fontId="11" fillId="0" borderId="1" xfId="0" applyNumberFormat="1" applyFont="1" applyBorder="1"/>
    <xf numFmtId="0" fontId="10" fillId="0" borderId="2" xfId="0" applyFont="1" applyBorder="1"/>
    <xf numFmtId="0" fontId="10" fillId="0" borderId="0" xfId="0" applyFont="1" applyAlignment="1">
      <alignment horizontal="left"/>
    </xf>
    <xf numFmtId="174" fontId="12" fillId="0" borderId="0" xfId="3" applyNumberFormat="1" applyFont="1"/>
    <xf numFmtId="0" fontId="19" fillId="0" borderId="0" xfId="0" applyFont="1"/>
    <xf numFmtId="168" fontId="12" fillId="0" borderId="0" xfId="0" applyNumberFormat="1" applyFont="1"/>
    <xf numFmtId="173" fontId="12" fillId="0" borderId="0" xfId="0" applyNumberFormat="1" applyFont="1"/>
    <xf numFmtId="170" fontId="12" fillId="0" borderId="0" xfId="3" applyNumberFormat="1" applyFont="1"/>
    <xf numFmtId="174" fontId="12" fillId="2" borderId="0" xfId="0" applyNumberFormat="1" applyFont="1" applyFill="1"/>
    <xf numFmtId="174" fontId="12" fillId="0" borderId="0" xfId="0" applyNumberFormat="1" applyFont="1"/>
    <xf numFmtId="174" fontId="12" fillId="0" borderId="0" xfId="3" applyNumberFormat="1" applyFont="1" applyBorder="1"/>
    <xf numFmtId="0" fontId="0" fillId="0" borderId="0" xfId="0" applyAlignment="1">
      <alignment horizontal="center"/>
    </xf>
    <xf numFmtId="170" fontId="0" fillId="0" borderId="0" xfId="3" applyNumberFormat="1" applyFont="1"/>
    <xf numFmtId="178" fontId="0" fillId="0" borderId="0" xfId="6" applyNumberFormat="1" applyFont="1"/>
    <xf numFmtId="178" fontId="0" fillId="0" borderId="0" xfId="0" applyNumberFormat="1"/>
    <xf numFmtId="180" fontId="11" fillId="0" borderId="0" xfId="0" applyNumberFormat="1" applyFont="1"/>
    <xf numFmtId="0" fontId="20" fillId="0" borderId="0" xfId="0" quotePrefix="1" applyFont="1"/>
    <xf numFmtId="9" fontId="20" fillId="0" borderId="0" xfId="3" applyFont="1"/>
    <xf numFmtId="0" fontId="20" fillId="0" borderId="0" xfId="0" applyFont="1"/>
    <xf numFmtId="177" fontId="20" fillId="0" borderId="0" xfId="5" applyNumberFormat="1" applyFont="1"/>
    <xf numFmtId="181" fontId="0" fillId="0" borderId="0" xfId="0" applyNumberFormat="1"/>
    <xf numFmtId="170" fontId="20" fillId="0" borderId="0" xfId="3" applyNumberFormat="1" applyFont="1"/>
    <xf numFmtId="9" fontId="21" fillId="3" borderId="5" xfId="7" applyNumberFormat="1"/>
    <xf numFmtId="0" fontId="0" fillId="0" borderId="4" xfId="0" applyBorder="1" applyAlignment="1">
      <alignment horizontal="center"/>
    </xf>
    <xf numFmtId="10" fontId="21" fillId="3" borderId="5" xfId="7" applyNumberFormat="1"/>
    <xf numFmtId="0" fontId="21" fillId="3" borderId="5" xfId="7"/>
    <xf numFmtId="9" fontId="11" fillId="0" borderId="0" xfId="3" applyFont="1"/>
    <xf numFmtId="0" fontId="0" fillId="0" borderId="4" xfId="0" applyBorder="1"/>
    <xf numFmtId="178" fontId="21" fillId="3" borderId="4" xfId="7" applyNumberFormat="1" applyBorder="1"/>
    <xf numFmtId="10" fontId="0" fillId="0" borderId="0" xfId="3" applyNumberFormat="1" applyFont="1"/>
    <xf numFmtId="0" fontId="0" fillId="0" borderId="4" xfId="0" quotePrefix="1" applyBorder="1"/>
    <xf numFmtId="10" fontId="22" fillId="5" borderId="6" xfId="3" applyNumberFormat="1" applyFont="1" applyFill="1" applyBorder="1"/>
    <xf numFmtId="43" fontId="0" fillId="0" borderId="0" xfId="5" applyFont="1"/>
    <xf numFmtId="43" fontId="21" fillId="3" borderId="5" xfId="7" applyNumberFormat="1"/>
    <xf numFmtId="43" fontId="20" fillId="0" borderId="0" xfId="5" applyFont="1"/>
    <xf numFmtId="0" fontId="21" fillId="3" borderId="5" xfId="7" applyAlignment="1">
      <alignment horizontal="center"/>
    </xf>
    <xf numFmtId="178" fontId="22" fillId="5" borderId="4" xfId="8" applyNumberFormat="1" applyFill="1" applyBorder="1"/>
    <xf numFmtId="43" fontId="22" fillId="5" borderId="6" xfId="8" applyNumberFormat="1" applyFill="1"/>
    <xf numFmtId="10" fontId="0" fillId="0" borderId="0" xfId="0" applyNumberFormat="1"/>
    <xf numFmtId="10" fontId="21" fillId="3" borderId="4" xfId="7" applyNumberFormat="1" applyBorder="1"/>
    <xf numFmtId="43" fontId="0" fillId="0" borderId="0" xfId="0" applyNumberFormat="1"/>
    <xf numFmtId="10" fontId="22" fillId="5" borderId="6" xfId="8" applyNumberFormat="1" applyFill="1"/>
    <xf numFmtId="10" fontId="21" fillId="3" borderId="4" xfId="3" applyNumberFormat="1" applyFont="1" applyFill="1" applyBorder="1"/>
    <xf numFmtId="0" fontId="21" fillId="3" borderId="7" xfId="7" applyBorder="1" applyAlignment="1">
      <alignment horizontal="center"/>
    </xf>
    <xf numFmtId="10" fontId="21" fillId="3" borderId="7" xfId="7" applyNumberFormat="1" applyBorder="1" applyAlignment="1">
      <alignment horizontal="center"/>
    </xf>
    <xf numFmtId="10" fontId="21" fillId="3" borderId="5" xfId="7" applyNumberFormat="1" applyAlignment="1">
      <alignment horizontal="center"/>
    </xf>
    <xf numFmtId="10" fontId="22" fillId="5" borderId="6" xfId="8" applyNumberFormat="1" applyFill="1" applyAlignment="1">
      <alignment horizontal="center"/>
    </xf>
    <xf numFmtId="179" fontId="21" fillId="3" borderId="4" xfId="5" applyNumberFormat="1" applyFont="1" applyFill="1" applyBorder="1"/>
    <xf numFmtId="179" fontId="22" fillId="5" borderId="4" xfId="5" applyNumberFormat="1" applyFont="1" applyFill="1" applyBorder="1"/>
    <xf numFmtId="44" fontId="22" fillId="5" borderId="6" xfId="6" applyFont="1" applyFill="1" applyBorder="1"/>
    <xf numFmtId="179" fontId="0" fillId="0" borderId="0" xfId="5" applyNumberFormat="1" applyFont="1"/>
    <xf numFmtId="10" fontId="21" fillId="3" borderId="5" xfId="3" applyNumberFormat="1" applyFont="1" applyFill="1" applyBorder="1"/>
    <xf numFmtId="44" fontId="21" fillId="3" borderId="5" xfId="7" applyNumberFormat="1"/>
    <xf numFmtId="44" fontId="0" fillId="0" borderId="0" xfId="0" applyNumberFormat="1"/>
    <xf numFmtId="43" fontId="22" fillId="4" borderId="6" xfId="8" applyNumberFormat="1"/>
    <xf numFmtId="165" fontId="10" fillId="0" borderId="1" xfId="0" quotePrefix="1" applyNumberFormat="1" applyFont="1" applyBorder="1" applyAlignment="1">
      <alignment horizontal="center"/>
    </xf>
    <xf numFmtId="4" fontId="11" fillId="0" borderId="3" xfId="0" quotePrefix="1" applyNumberFormat="1" applyFont="1" applyBorder="1" applyAlignment="1">
      <alignment horizontal="right"/>
    </xf>
    <xf numFmtId="169" fontId="11" fillId="0" borderId="0" xfId="0" quotePrefix="1" applyNumberFormat="1" applyFont="1" applyAlignment="1">
      <alignment horizontal="right"/>
    </xf>
    <xf numFmtId="4" fontId="11" fillId="5" borderId="3" xfId="0" applyNumberFormat="1" applyFont="1" applyFill="1" applyBorder="1"/>
    <xf numFmtId="169" fontId="11" fillId="5" borderId="0" xfId="0" applyNumberFormat="1" applyFont="1" applyFill="1"/>
    <xf numFmtId="169" fontId="11" fillId="5" borderId="1" xfId="0" applyNumberFormat="1" applyFont="1" applyFill="1" applyBorder="1"/>
    <xf numFmtId="44" fontId="21" fillId="3" borderId="4" xfId="6" applyFont="1" applyFill="1" applyBorder="1"/>
    <xf numFmtId="178" fontId="0" fillId="5" borderId="4" xfId="6" applyNumberFormat="1" applyFont="1" applyFill="1" applyBorder="1"/>
    <xf numFmtId="9" fontId="0" fillId="5" borderId="4" xfId="3" applyFont="1" applyFill="1" applyBorder="1"/>
    <xf numFmtId="0" fontId="0" fillId="0" borderId="4" xfId="0" applyBorder="1" applyAlignment="1">
      <alignment horizontal="right"/>
    </xf>
    <xf numFmtId="9" fontId="0" fillId="0" borderId="0" xfId="0" applyNumberFormat="1"/>
    <xf numFmtId="44" fontId="22" fillId="4" borderId="6" xfId="8" applyNumberFormat="1"/>
    <xf numFmtId="37" fontId="0" fillId="0" borderId="0" xfId="0" applyNumberFormat="1"/>
    <xf numFmtId="178" fontId="22" fillId="4" borderId="6" xfId="8" applyNumberFormat="1"/>
    <xf numFmtId="9" fontId="0" fillId="0" borderId="0" xfId="3" applyFont="1"/>
    <xf numFmtId="182" fontId="22" fillId="4" borderId="6" xfId="8" applyNumberFormat="1"/>
    <xf numFmtId="0" fontId="0" fillId="5" borderId="0" xfId="0" applyFill="1"/>
    <xf numFmtId="0" fontId="0" fillId="0" borderId="0" xfId="0" applyAlignment="1">
      <alignment wrapText="1"/>
    </xf>
    <xf numFmtId="0" fontId="0" fillId="0" borderId="8" xfId="0" applyBorder="1" applyAlignment="1">
      <alignment horizontal="center"/>
    </xf>
    <xf numFmtId="183" fontId="11" fillId="5" borderId="0" xfId="0" applyNumberFormat="1" applyFont="1" applyFill="1"/>
    <xf numFmtId="8" fontId="0" fillId="0" borderId="0" xfId="0" applyNumberFormat="1"/>
    <xf numFmtId="8" fontId="0" fillId="5" borderId="4" xfId="6" applyNumberFormat="1" applyFont="1" applyFill="1" applyBorder="1"/>
    <xf numFmtId="179" fontId="0" fillId="0" borderId="0" xfId="0" applyNumberFormat="1"/>
    <xf numFmtId="49" fontId="0" fillId="0" borderId="0" xfId="0" applyNumberFormat="1"/>
    <xf numFmtId="184" fontId="0" fillId="0" borderId="0" xfId="3" applyNumberFormat="1" applyFont="1"/>
    <xf numFmtId="185" fontId="0" fillId="0" borderId="0" xfId="3" applyNumberFormat="1" applyFont="1"/>
    <xf numFmtId="184" fontId="0" fillId="0" borderId="0" xfId="0" applyNumberFormat="1"/>
    <xf numFmtId="43" fontId="21" fillId="5" borderId="5" xfId="5" applyFont="1" applyFill="1" applyBorder="1" applyAlignment="1">
      <alignment horizontal="center"/>
    </xf>
    <xf numFmtId="49" fontId="0" fillId="5" borderId="4" xfId="5" quotePrefix="1" applyNumberFormat="1" applyFont="1" applyFill="1" applyBorder="1" applyAlignment="1">
      <alignment horizontal="center"/>
    </xf>
    <xf numFmtId="0" fontId="11" fillId="6" borderId="0" xfId="0" applyFont="1" applyFill="1"/>
    <xf numFmtId="0" fontId="0" fillId="6" borderId="0" xfId="0" applyFill="1"/>
    <xf numFmtId="9" fontId="0" fillId="6" borderId="0" xfId="0" applyNumberFormat="1" applyFill="1"/>
    <xf numFmtId="10" fontId="0" fillId="6" borderId="0" xfId="0" applyNumberFormat="1" applyFill="1"/>
    <xf numFmtId="170" fontId="0" fillId="6" borderId="0" xfId="3" applyNumberFormat="1" applyFont="1" applyFill="1"/>
    <xf numFmtId="10" fontId="0" fillId="6" borderId="0" xfId="3" applyNumberFormat="1" applyFont="1" applyFill="1"/>
    <xf numFmtId="9" fontId="0" fillId="6" borderId="0" xfId="3" applyFont="1" applyFill="1"/>
    <xf numFmtId="0" fontId="1" fillId="0" borderId="0" xfId="0" applyFont="1"/>
    <xf numFmtId="6" fontId="21" fillId="3" borderId="5" xfId="7" applyNumberFormat="1"/>
    <xf numFmtId="178" fontId="22" fillId="5" borderId="6" xfId="6" applyNumberFormat="1" applyFont="1" applyFill="1" applyBorder="1"/>
    <xf numFmtId="178" fontId="22" fillId="5" borderId="6" xfId="6" applyNumberFormat="1" applyFont="1" applyFill="1" applyBorder="1" applyAlignment="1">
      <alignment horizontal="center"/>
    </xf>
    <xf numFmtId="44" fontId="1" fillId="0" borderId="0" xfId="0" applyNumberFormat="1" applyFont="1"/>
    <xf numFmtId="0" fontId="1" fillId="0" borderId="4" xfId="0" applyFont="1" applyBorder="1"/>
    <xf numFmtId="0" fontId="1" fillId="0" borderId="4" xfId="0" applyFont="1" applyBorder="1" applyAlignment="1">
      <alignment horizontal="center"/>
    </xf>
    <xf numFmtId="178" fontId="23" fillId="4" borderId="4" xfId="9" applyNumberFormat="1" applyBorder="1"/>
    <xf numFmtId="178" fontId="22" fillId="4" borderId="4" xfId="8" applyNumberFormat="1" applyBorder="1"/>
    <xf numFmtId="178" fontId="1" fillId="0" borderId="0" xfId="6" applyNumberFormat="1" applyFont="1"/>
    <xf numFmtId="178" fontId="22" fillId="5" borderId="6" xfId="8" applyNumberFormat="1" applyFill="1"/>
    <xf numFmtId="178" fontId="1" fillId="0" borderId="4" xfId="0" applyNumberFormat="1" applyFont="1" applyBorder="1"/>
    <xf numFmtId="0" fontId="1" fillId="0" borderId="4" xfId="0" quotePrefix="1" applyFont="1" applyBorder="1"/>
    <xf numFmtId="178" fontId="1" fillId="0" borderId="4" xfId="6" applyNumberFormat="1" applyFont="1" applyBorder="1"/>
    <xf numFmtId="6" fontId="1" fillId="0" borderId="4" xfId="0" applyNumberFormat="1" applyFont="1" applyBorder="1"/>
    <xf numFmtId="0" fontId="1" fillId="0" borderId="0" xfId="0" quotePrefix="1" applyFont="1"/>
    <xf numFmtId="0" fontId="0" fillId="0" borderId="0" xfId="0" quotePrefix="1"/>
    <xf numFmtId="0" fontId="24" fillId="0" borderId="0" xfId="0" applyFont="1"/>
    <xf numFmtId="0" fontId="23" fillId="4" borderId="5" xfId="9" applyAlignment="1">
      <alignment horizontal="center"/>
    </xf>
    <xf numFmtId="170" fontId="23" fillId="4" borderId="5" xfId="9" applyNumberFormat="1" applyAlignment="1">
      <alignment horizontal="center"/>
    </xf>
    <xf numFmtId="177" fontId="23" fillId="4" borderId="5" xfId="9" applyNumberFormat="1" applyAlignment="1">
      <alignment horizontal="center"/>
    </xf>
    <xf numFmtId="177" fontId="23" fillId="4" borderId="5" xfId="9" applyNumberFormat="1"/>
    <xf numFmtId="43" fontId="23" fillId="4" borderId="5" xfId="9" applyNumberFormat="1"/>
    <xf numFmtId="177" fontId="23" fillId="4" borderId="5" xfId="9" quotePrefix="1" applyNumberFormat="1"/>
    <xf numFmtId="179" fontId="23" fillId="4" borderId="5" xfId="9" applyNumberFormat="1"/>
    <xf numFmtId="170" fontId="23" fillId="4" borderId="5" xfId="9" applyNumberFormat="1"/>
    <xf numFmtId="178" fontId="23" fillId="4" borderId="5" xfId="9" applyNumberFormat="1"/>
    <xf numFmtId="9" fontId="23" fillId="4" borderId="5" xfId="9" applyNumberFormat="1"/>
    <xf numFmtId="0" fontId="23" fillId="4" borderId="5" xfId="9" applyAlignment="1">
      <alignment horizontal="right"/>
    </xf>
    <xf numFmtId="178" fontId="23" fillId="4" borderId="5" xfId="9" applyNumberFormat="1" applyAlignment="1">
      <alignment horizontal="left"/>
    </xf>
    <xf numFmtId="0" fontId="23" fillId="4" borderId="5" xfId="9" applyAlignment="1">
      <alignment horizontal="left"/>
    </xf>
    <xf numFmtId="178" fontId="23" fillId="4" borderId="5" xfId="9" applyNumberFormat="1" applyAlignment="1">
      <alignment horizontal="right"/>
    </xf>
    <xf numFmtId="0" fontId="24" fillId="0" borderId="0" xfId="0" quotePrefix="1" applyFont="1"/>
    <xf numFmtId="0" fontId="0" fillId="0" borderId="0" xfId="0" applyAlignment="1">
      <alignment horizontal="right"/>
    </xf>
    <xf numFmtId="170" fontId="25" fillId="4" borderId="5" xfId="3" applyNumberFormat="1" applyFont="1" applyFill="1" applyBorder="1"/>
    <xf numFmtId="0" fontId="26" fillId="0" borderId="0" xfId="0" applyFont="1"/>
    <xf numFmtId="0" fontId="27" fillId="7" borderId="5" xfId="0" applyFont="1" applyFill="1" applyBorder="1"/>
    <xf numFmtId="9" fontId="27" fillId="7" borderId="5" xfId="0" applyNumberFormat="1" applyFont="1" applyFill="1" applyBorder="1"/>
    <xf numFmtId="0" fontId="26" fillId="0" borderId="4" xfId="0" applyFont="1" applyBorder="1"/>
    <xf numFmtId="0" fontId="26" fillId="0" borderId="10" xfId="0" applyFont="1" applyBorder="1"/>
    <xf numFmtId="6" fontId="28" fillId="8" borderId="10" xfId="0" applyNumberFormat="1" applyFont="1" applyFill="1" applyBorder="1"/>
    <xf numFmtId="10" fontId="27" fillId="7" borderId="7" xfId="0" applyNumberFormat="1" applyFont="1" applyFill="1" applyBorder="1"/>
    <xf numFmtId="0" fontId="26" fillId="0" borderId="11" xfId="0" applyFont="1" applyBorder="1"/>
    <xf numFmtId="0" fontId="26" fillId="0" borderId="12" xfId="0" applyFont="1" applyBorder="1"/>
    <xf numFmtId="8" fontId="28" fillId="8" borderId="12" xfId="0" applyNumberFormat="1" applyFont="1" applyFill="1" applyBorder="1"/>
    <xf numFmtId="0" fontId="29" fillId="8" borderId="12" xfId="0" applyFont="1" applyFill="1" applyBorder="1"/>
    <xf numFmtId="6" fontId="29" fillId="8" borderId="12" xfId="0" applyNumberFormat="1" applyFont="1" applyFill="1" applyBorder="1"/>
    <xf numFmtId="0" fontId="26" fillId="0" borderId="11" xfId="0" quotePrefix="1" applyFont="1" applyBorder="1"/>
    <xf numFmtId="6" fontId="29" fillId="8" borderId="10" xfId="0" applyNumberFormat="1" applyFont="1" applyFill="1" applyBorder="1"/>
    <xf numFmtId="0" fontId="26" fillId="0" borderId="9" xfId="0" applyFont="1" applyBorder="1"/>
    <xf numFmtId="3" fontId="29" fillId="8" borderId="12" xfId="0" applyNumberFormat="1" applyFont="1" applyFill="1" applyBorder="1"/>
    <xf numFmtId="8" fontId="29" fillId="8" borderId="12" xfId="0" applyNumberFormat="1" applyFont="1" applyFill="1" applyBorder="1"/>
    <xf numFmtId="0" fontId="29" fillId="8" borderId="7" xfId="0" applyFont="1" applyFill="1" applyBorder="1"/>
    <xf numFmtId="8" fontId="28" fillId="9" borderId="6" xfId="0" applyNumberFormat="1" applyFont="1" applyFill="1" applyBorder="1"/>
    <xf numFmtId="178" fontId="1" fillId="0" borderId="0" xfId="0" applyNumberFormat="1" applyFont="1"/>
    <xf numFmtId="44" fontId="0" fillId="0" borderId="0" xfId="6" applyFont="1"/>
    <xf numFmtId="0" fontId="30" fillId="0" borderId="0" xfId="0" applyFont="1"/>
    <xf numFmtId="6" fontId="27" fillId="7" borderId="12" xfId="0" applyNumberFormat="1" applyFont="1" applyFill="1" applyBorder="1"/>
    <xf numFmtId="6" fontId="28" fillId="9" borderId="12" xfId="0" applyNumberFormat="1" applyFont="1" applyFill="1" applyBorder="1"/>
    <xf numFmtId="3" fontId="27" fillId="7" borderId="12" xfId="0" applyNumberFormat="1" applyFont="1" applyFill="1" applyBorder="1"/>
    <xf numFmtId="3" fontId="28" fillId="9" borderId="12" xfId="0" applyNumberFormat="1" applyFont="1" applyFill="1" applyBorder="1"/>
    <xf numFmtId="0" fontId="31" fillId="0" borderId="0" xfId="0" applyFont="1"/>
    <xf numFmtId="0" fontId="32" fillId="0" borderId="1" xfId="0" applyFont="1" applyBorder="1"/>
    <xf numFmtId="0" fontId="33" fillId="0" borderId="0" xfId="0" applyFont="1"/>
    <xf numFmtId="0" fontId="33" fillId="9" borderId="0" xfId="0" applyFont="1" applyFill="1"/>
    <xf numFmtId="0" fontId="33" fillId="0" borderId="1" xfId="0" applyFont="1" applyBorder="1"/>
    <xf numFmtId="0" fontId="33" fillId="9" borderId="1" xfId="0" applyFont="1" applyFill="1" applyBorder="1"/>
    <xf numFmtId="0" fontId="34" fillId="0" borderId="0" xfId="0" applyFont="1"/>
    <xf numFmtId="0" fontId="34" fillId="0" borderId="4" xfId="0" applyFont="1" applyBorder="1"/>
    <xf numFmtId="0" fontId="34" fillId="0" borderId="13" xfId="0" applyFont="1" applyBorder="1"/>
    <xf numFmtId="0" fontId="35" fillId="0" borderId="4" xfId="0" applyFont="1" applyBorder="1"/>
    <xf numFmtId="44" fontId="36" fillId="10" borderId="14" xfId="0" applyNumberFormat="1" applyFont="1" applyFill="1" applyBorder="1"/>
    <xf numFmtId="0" fontId="35" fillId="0" borderId="15" xfId="0" applyFont="1" applyBorder="1"/>
    <xf numFmtId="44" fontId="36" fillId="10" borderId="16" xfId="0" applyNumberFormat="1" applyFont="1" applyFill="1" applyBorder="1"/>
    <xf numFmtId="44" fontId="37" fillId="10" borderId="16" xfId="0" applyNumberFormat="1" applyFont="1" applyFill="1" applyBorder="1"/>
    <xf numFmtId="0" fontId="35" fillId="0" borderId="17" xfId="0" applyFont="1" applyBorder="1"/>
    <xf numFmtId="0" fontId="35" fillId="0" borderId="0" xfId="0" applyFont="1"/>
    <xf numFmtId="8" fontId="35" fillId="0" borderId="0" xfId="0" applyNumberFormat="1" applyFont="1"/>
    <xf numFmtId="8" fontId="36" fillId="10" borderId="14" xfId="0" applyNumberFormat="1" applyFont="1" applyFill="1" applyBorder="1"/>
    <xf numFmtId="3" fontId="36" fillId="10" borderId="16" xfId="0" applyNumberFormat="1" applyFont="1" applyFill="1" applyBorder="1"/>
    <xf numFmtId="0" fontId="36" fillId="10" borderId="16" xfId="0" applyFont="1" applyFill="1" applyBorder="1"/>
    <xf numFmtId="8" fontId="36" fillId="10" borderId="16" xfId="0" applyNumberFormat="1" applyFont="1" applyFill="1" applyBorder="1"/>
    <xf numFmtId="0" fontId="0" fillId="0" borderId="18" xfId="0" applyBorder="1"/>
    <xf numFmtId="0" fontId="38" fillId="10" borderId="16" xfId="0" applyFont="1" applyFill="1" applyBorder="1"/>
    <xf numFmtId="0" fontId="0" fillId="0" borderId="19" xfId="0" applyBorder="1"/>
    <xf numFmtId="10" fontId="38" fillId="10" borderId="16" xfId="0" applyNumberFormat="1" applyFont="1" applyFill="1" applyBorder="1"/>
    <xf numFmtId="1" fontId="38" fillId="10" borderId="16" xfId="0" applyNumberFormat="1" applyFont="1" applyFill="1" applyBorder="1"/>
    <xf numFmtId="0" fontId="39" fillId="11" borderId="0" xfId="0" quotePrefix="1" applyFont="1" applyFill="1"/>
    <xf numFmtId="44" fontId="0" fillId="0" borderId="21" xfId="0" applyNumberFormat="1" applyBorder="1"/>
    <xf numFmtId="0" fontId="0" fillId="0" borderId="4" xfId="0" applyBorder="1" applyAlignment="1">
      <alignment horizontal="center"/>
    </xf>
    <xf numFmtId="0" fontId="26" fillId="0" borderId="20" xfId="0" applyFont="1" applyBorder="1" applyAlignment="1">
      <alignment horizontal="center"/>
    </xf>
    <xf numFmtId="0" fontId="26" fillId="0" borderId="10" xfId="0" applyFont="1" applyBorder="1" applyAlignment="1">
      <alignment horizontal="center"/>
    </xf>
    <xf numFmtId="0" fontId="10" fillId="0" borderId="0" xfId="0" applyFont="1" applyAlignment="1">
      <alignment horizontal="left"/>
    </xf>
    <xf numFmtId="0" fontId="10" fillId="0" borderId="0" xfId="0" applyFont="1" applyAlignment="1">
      <alignment horizontal="center"/>
    </xf>
    <xf numFmtId="0" fontId="10" fillId="0" borderId="0" xfId="0" applyFont="1"/>
  </cellXfs>
  <cellStyles count="10">
    <cellStyle name="Calculation" xfId="9" builtinId="22"/>
    <cellStyle name="Comma" xfId="5" builtinId="3"/>
    <cellStyle name="Currency" xfId="6" builtinId="4"/>
    <cellStyle name="Input" xfId="7" builtinId="20"/>
    <cellStyle name="Invisible" xfId="2" xr:uid="{00000000-0005-0000-0000-000000000000}"/>
    <cellStyle name="Normal" xfId="0" builtinId="0"/>
    <cellStyle name="Normal 2" xfId="1" xr:uid="{00000000-0005-0000-0000-000002000000}"/>
    <cellStyle name="Normal 3" xfId="4" xr:uid="{00000000-0005-0000-0000-000003000000}"/>
    <cellStyle name="Output" xfId="8" builtinId="21"/>
    <cellStyle name="Percent" xfId="3" builtinId="5"/>
  </cellStyles>
  <dxfs count="0"/>
  <tableStyles count="0" defaultTableStyle="TableStyleMedium2" defaultPivotStyle="PivotStyleLight16"/>
  <colors>
    <mruColors>
      <color rgb="FF1D3764"/>
      <color rgb="FF008000"/>
      <color rgb="FF0000FF"/>
      <color rgb="FF5282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87292213473316"/>
          <c:y val="0.16708333333333336"/>
          <c:w val="0.79357152230971129"/>
          <c:h val="0.77736111111111106"/>
        </c:manualLayout>
      </c:layout>
      <c:lineChart>
        <c:grouping val="standard"/>
        <c:varyColors val="0"/>
        <c:ser>
          <c:idx val="0"/>
          <c:order val="0"/>
          <c:spPr>
            <a:ln w="28575" cap="rnd">
              <a:solidFill>
                <a:schemeClr val="accent1"/>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0-D488-491D-AE65-F1A801B88249}"/>
                </c:ext>
              </c:extLst>
            </c:dLbl>
            <c:dLbl>
              <c:idx val="3"/>
              <c:delete val="1"/>
              <c:extLst>
                <c:ext xmlns:c15="http://schemas.microsoft.com/office/drawing/2012/chart" uri="{CE6537A1-D6FC-4f65-9D91-7224C49458BB}"/>
                <c:ext xmlns:c16="http://schemas.microsoft.com/office/drawing/2014/chart" uri="{C3380CC4-5D6E-409C-BE32-E72D297353CC}">
                  <c16:uniqueId val="{00000001-D488-491D-AE65-F1A801B882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[1]Thermowell!$B$1:$G$1</c:f>
              <c:strCache>
                <c:ptCount val="6"/>
                <c:pt idx="0">
                  <c:v>Y0</c:v>
                </c:pt>
                <c:pt idx="1">
                  <c:v>Y1</c:v>
                </c:pt>
                <c:pt idx="2">
                  <c:v>Y2</c:v>
                </c:pt>
                <c:pt idx="3">
                  <c:v>Y3</c:v>
                </c:pt>
                <c:pt idx="4">
                  <c:v>Y4</c:v>
                </c:pt>
                <c:pt idx="5">
                  <c:v>Y5</c:v>
                </c:pt>
              </c:strCache>
            </c:strRef>
          </c:cat>
          <c:val>
            <c:numRef>
              <c:f>[1]Thermowell!$B$2:$G$2</c:f>
              <c:numCache>
                <c:formatCode>_("$"* #,##0_);_("$"* \(#,##0\);_("$"* "-"??_);_(@_)</c:formatCode>
                <c:ptCount val="6"/>
                <c:pt idx="0">
                  <c:v>-1250000</c:v>
                </c:pt>
                <c:pt idx="1">
                  <c:v>-927500</c:v>
                </c:pt>
                <c:pt idx="2">
                  <c:v>-605000</c:v>
                </c:pt>
                <c:pt idx="3">
                  <c:v>-282500</c:v>
                </c:pt>
                <c:pt idx="4">
                  <c:v>40000</c:v>
                </c:pt>
                <c:pt idx="5" formatCode="_(&quot;$&quot;* #,##0.00_);_(&quot;$&quot;* \(#,##0.00\);_(&quot;$&quot;* &quot;-&quot;??_);_(@_)">
                  <c:v>362500</c:v>
                </c:pt>
              </c:numCache>
            </c:numRef>
          </c:val>
          <c:smooth val="0"/>
          <c:extLst>
            <c:ext xmlns:c16="http://schemas.microsoft.com/office/drawing/2014/chart" uri="{C3380CC4-5D6E-409C-BE32-E72D297353CC}">
              <c16:uniqueId val="{00000002-D488-491D-AE65-F1A801B88249}"/>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401437119"/>
        <c:axId val="401428799"/>
      </c:lineChart>
      <c:catAx>
        <c:axId val="401437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28799"/>
        <c:crosses val="autoZero"/>
        <c:auto val="1"/>
        <c:lblAlgn val="ctr"/>
        <c:lblOffset val="100"/>
        <c:noMultiLvlLbl val="0"/>
      </c:catAx>
      <c:valAx>
        <c:axId val="401428799"/>
        <c:scaling>
          <c:orientation val="minMax"/>
          <c:max val="380000"/>
          <c:min val="-12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37119"/>
        <c:crosses val="autoZero"/>
        <c:crossBetween val="between"/>
        <c:majorUnit val="400000"/>
        <c:minorUnit val="6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2017 Burton +</a:t>
            </a:r>
            <a:r>
              <a:rPr lang="en-US" baseline="0"/>
              <a:t> Thermowell + EE + Stock</a:t>
            </a:r>
            <a:endParaRPr lang="en-US"/>
          </a:p>
        </c:rich>
      </c:tx>
      <c:layout>
        <c:manualLayout>
          <c:xMode val="edge"/>
          <c:yMode val="edge"/>
          <c:x val="0.231715223097112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81780402449694"/>
          <c:y val="0.17171296296296298"/>
          <c:w val="0.8332933070866142"/>
          <c:h val="0.6714577865266842"/>
        </c:manualLayout>
      </c:layout>
      <c:barChart>
        <c:barDir val="bar"/>
        <c:grouping val="clustered"/>
        <c:varyColors val="0"/>
        <c:ser>
          <c:idx val="0"/>
          <c:order val="0"/>
          <c:tx>
            <c:strRef>
              <c:f>'[1]EE Acquisition'!$C$20</c:f>
              <c:strCache>
                <c:ptCount val="1"/>
                <c:pt idx="0">
                  <c:v>Burton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'[1]EE Acquisition'!$B$21:$B$23</c:f>
              <c:strCache>
                <c:ptCount val="3"/>
                <c:pt idx="0">
                  <c:v>Assets</c:v>
                </c:pt>
                <c:pt idx="1">
                  <c:v>Liabilities</c:v>
                </c:pt>
                <c:pt idx="2">
                  <c:v>Equity</c:v>
                </c:pt>
              </c:strCache>
            </c:strRef>
          </c:cat>
          <c:val>
            <c:numRef>
              <c:f>'[1]EE Acquisition'!$C$21:$C$23</c:f>
              <c:numCache>
                <c:formatCode>"$"#,##0_);[Red]\("$"#,##0\)</c:formatCode>
                <c:ptCount val="3"/>
                <c:pt idx="0">
                  <c:v>10082</c:v>
                </c:pt>
                <c:pt idx="1">
                  <c:v>8537</c:v>
                </c:pt>
                <c:pt idx="2">
                  <c:v>1545</c:v>
                </c:pt>
              </c:numCache>
            </c:numRef>
          </c:val>
          <c:extLst>
            <c:ext xmlns:c16="http://schemas.microsoft.com/office/drawing/2014/chart" uri="{C3380CC4-5D6E-409C-BE32-E72D297353CC}">
              <c16:uniqueId val="{00000000-D19F-42D7-AAAC-FDA87718E054}"/>
            </c:ext>
          </c:extLst>
        </c:ser>
        <c:ser>
          <c:idx val="1"/>
          <c:order val="1"/>
          <c:tx>
            <c:strRef>
              <c:f>'[1]EE Acquisition'!$D$20</c:f>
              <c:strCache>
                <c:ptCount val="1"/>
                <c:pt idx="0">
                  <c:v>Burton, EE, Thermowells, Stock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'[1]EE Acquisition'!$B$21:$B$23</c:f>
              <c:strCache>
                <c:ptCount val="3"/>
                <c:pt idx="0">
                  <c:v>Assets</c:v>
                </c:pt>
                <c:pt idx="1">
                  <c:v>Liabilities</c:v>
                </c:pt>
                <c:pt idx="2">
                  <c:v>Equity</c:v>
                </c:pt>
              </c:strCache>
            </c:strRef>
          </c:cat>
          <c:val>
            <c:numRef>
              <c:f>'[1]EE Acquisition'!$D$21:$D$23</c:f>
              <c:numCache>
                <c:formatCode>"$"#,##0_);[Red]\("$"#,##0\)</c:formatCode>
                <c:ptCount val="3"/>
                <c:pt idx="0">
                  <c:v>17570</c:v>
                </c:pt>
                <c:pt idx="1">
                  <c:v>7549</c:v>
                </c:pt>
                <c:pt idx="2">
                  <c:v>10020</c:v>
                </c:pt>
              </c:numCache>
            </c:numRef>
          </c:val>
          <c:extLst>
            <c:ext xmlns:c16="http://schemas.microsoft.com/office/drawing/2014/chart" uri="{C3380CC4-5D6E-409C-BE32-E72D297353CC}">
              <c16:uniqueId val="{00000001-D19F-42D7-AAAC-FDA87718E054}"/>
            </c:ext>
          </c:extLst>
        </c:ser>
        <c:dLbls>
          <c:showLegendKey val="0"/>
          <c:showVal val="0"/>
          <c:showCatName val="0"/>
          <c:showSerName val="0"/>
          <c:showPercent val="0"/>
          <c:showBubbleSize val="0"/>
        </c:dLbls>
        <c:gapWidth val="182"/>
        <c:axId val="814501888"/>
        <c:axId val="814496064"/>
      </c:barChart>
      <c:catAx>
        <c:axId val="8145018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96064"/>
        <c:crosses val="autoZero"/>
        <c:auto val="1"/>
        <c:lblAlgn val="ctr"/>
        <c:lblOffset val="100"/>
        <c:noMultiLvlLbl val="0"/>
      </c:catAx>
      <c:valAx>
        <c:axId val="81449606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crossAx val="81450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22922</xdr:colOff>
      <xdr:row>13</xdr:row>
      <xdr:rowOff>15487</xdr:rowOff>
    </xdr:from>
    <xdr:to>
      <xdr:col>7</xdr:col>
      <xdr:colOff>675562</xdr:colOff>
      <xdr:row>18</xdr:row>
      <xdr:rowOff>170841</xdr:rowOff>
    </xdr:to>
    <xdr:sp macro="" textlink="">
      <xdr:nvSpPr>
        <xdr:cNvPr id="2" name="TextBox 1">
          <a:extLst>
            <a:ext uri="{FF2B5EF4-FFF2-40B4-BE49-F238E27FC236}">
              <a16:creationId xmlns:a16="http://schemas.microsoft.com/office/drawing/2014/main" id="{DA6D4587-3480-4330-9FD0-9D4468B5B807}"/>
            </a:ext>
          </a:extLst>
        </xdr:cNvPr>
        <xdr:cNvSpPr txBox="1"/>
      </xdr:nvSpPr>
      <xdr:spPr>
        <a:xfrm>
          <a:off x="22922" y="2615812"/>
          <a:ext cx="6872465" cy="1155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solidFill>
                <a:schemeClr val="dk1"/>
              </a:solidFill>
              <a:effectLst/>
              <a:latin typeface="+mn-lt"/>
              <a:ea typeface="+mn-ea"/>
              <a:cs typeface="+mn-cs"/>
            </a:rPr>
            <a:t>Assumptions</a:t>
          </a:r>
          <a:r>
            <a:rPr lang="en-US" sz="1100" baseline="0">
              <a:solidFill>
                <a:schemeClr val="dk1"/>
              </a:solidFill>
              <a:effectLst/>
              <a:latin typeface="+mn-lt"/>
              <a:ea typeface="+mn-ea"/>
              <a:cs typeface="+mn-cs"/>
            </a:rPr>
            <a:t> for analysis and computations</a:t>
          </a:r>
          <a:endParaRPr lang="en-US">
            <a:effectLst/>
          </a:endParaRPr>
        </a:p>
        <a:p>
          <a:r>
            <a:rPr lang="en-US" sz="1100">
              <a:solidFill>
                <a:schemeClr val="dk1"/>
              </a:solidFill>
              <a:effectLst/>
              <a:latin typeface="+mn-lt"/>
              <a:ea typeface="+mn-ea"/>
              <a:cs typeface="+mn-cs"/>
            </a:rPr>
            <a:t>1. EE's bank loans and accrued expenses are short-term current liabilities</a:t>
          </a:r>
          <a:endParaRPr lang="en-US">
            <a:effectLst/>
          </a:endParaRPr>
        </a:p>
        <a:p>
          <a:r>
            <a:rPr lang="en-US" sz="1100">
              <a:solidFill>
                <a:schemeClr val="dk1"/>
              </a:solidFill>
              <a:effectLst/>
              <a:latin typeface="+mn-lt"/>
              <a:ea typeface="+mn-ea"/>
              <a:cs typeface="+mn-cs"/>
            </a:rPr>
            <a:t>2. D</a:t>
          </a:r>
          <a:r>
            <a:rPr lang="en-US" sz="1100" baseline="0">
              <a:solidFill>
                <a:schemeClr val="dk1"/>
              </a:solidFill>
              <a:effectLst/>
              <a:latin typeface="+mn-lt"/>
              <a:ea typeface="+mn-ea"/>
              <a:cs typeface="+mn-cs"/>
            </a:rPr>
            <a:t>ebt f</a:t>
          </a:r>
          <a:r>
            <a:rPr lang="en-US" sz="1100">
              <a:solidFill>
                <a:schemeClr val="dk1"/>
              </a:solidFill>
              <a:effectLst/>
              <a:latin typeface="+mn-lt"/>
              <a:ea typeface="+mn-ea"/>
              <a:cs typeface="+mn-cs"/>
            </a:rPr>
            <a:t>or D/E, FCFE and Net Debt ratios includes bank loans, and current portion of LTD,</a:t>
          </a:r>
          <a:r>
            <a:rPr lang="en-US" sz="1100" baseline="0">
              <a:solidFill>
                <a:schemeClr val="dk1"/>
              </a:solidFill>
              <a:effectLst/>
              <a:latin typeface="+mn-lt"/>
              <a:ea typeface="+mn-ea"/>
              <a:cs typeface="+mn-cs"/>
            </a:rPr>
            <a:t> and LTD</a:t>
          </a:r>
          <a:endParaRPr lang="en-US">
            <a:effectLst/>
          </a:endParaRPr>
        </a:p>
        <a:p>
          <a:r>
            <a:rPr lang="en-US" sz="1100">
              <a:solidFill>
                <a:schemeClr val="dk1"/>
              </a:solidFill>
              <a:effectLst/>
              <a:latin typeface="+mn-lt"/>
              <a:ea typeface="+mn-ea"/>
              <a:cs typeface="+mn-cs"/>
            </a:rPr>
            <a:t>3. EBIT includes all</a:t>
          </a:r>
          <a:r>
            <a:rPr lang="en-US" sz="1100" baseline="0">
              <a:solidFill>
                <a:schemeClr val="dk1"/>
              </a:solidFill>
              <a:effectLst/>
              <a:latin typeface="+mn-lt"/>
              <a:ea typeface="+mn-ea"/>
              <a:cs typeface="+mn-cs"/>
            </a:rPr>
            <a:t> income and expense items except tax and interest. Use net interest for interest expense.</a:t>
          </a:r>
          <a:endParaRPr lang="en-US">
            <a:effectLst/>
          </a:endParaRPr>
        </a:p>
        <a:p>
          <a:r>
            <a:rPr lang="en-US" sz="1100" baseline="0">
              <a:solidFill>
                <a:schemeClr val="dk1"/>
              </a:solidFill>
              <a:effectLst/>
              <a:latin typeface="+mn-lt"/>
              <a:ea typeface="+mn-ea"/>
              <a:cs typeface="+mn-cs"/>
            </a:rPr>
            <a:t>4. Burton Net Working Capital includes Cash, A/R, Inventory, A/P, and Accrued Expense only</a:t>
          </a:r>
          <a:endParaRPr lang="en-US">
            <a:effectLst/>
          </a:endParaRPr>
        </a:p>
        <a:p>
          <a:r>
            <a:rPr lang="en-US" sz="1100" baseline="0">
              <a:solidFill>
                <a:schemeClr val="dk1"/>
              </a:solidFill>
              <a:effectLst/>
              <a:latin typeface="+mn-lt"/>
              <a:ea typeface="+mn-ea"/>
              <a:cs typeface="+mn-cs"/>
            </a:rPr>
            <a:t>5. EE's Net Working Capital includes A/R, Inventory, A/P, Accrued Expense (</a:t>
          </a:r>
          <a:r>
            <a:rPr lang="en-US" sz="1100" baseline="0">
              <a:solidFill>
                <a:srgbClr val="FF0000"/>
              </a:solidFill>
              <a:effectLst/>
              <a:latin typeface="+mn-lt"/>
              <a:ea typeface="+mn-ea"/>
              <a:cs typeface="+mn-cs"/>
            </a:rPr>
            <a:t>cash is </a:t>
          </a:r>
          <a:r>
            <a:rPr lang="en-US" sz="1100" b="1" baseline="0">
              <a:solidFill>
                <a:srgbClr val="FF0000"/>
              </a:solidFill>
              <a:effectLst/>
              <a:latin typeface="+mn-lt"/>
              <a:ea typeface="+mn-ea"/>
              <a:cs typeface="+mn-cs"/>
            </a:rPr>
            <a:t>not</a:t>
          </a:r>
          <a:r>
            <a:rPr lang="en-US" sz="1100" baseline="0">
              <a:solidFill>
                <a:srgbClr val="FF0000"/>
              </a:solidFill>
              <a:effectLst/>
              <a:latin typeface="+mn-lt"/>
              <a:ea typeface="+mn-ea"/>
              <a:cs typeface="+mn-cs"/>
            </a:rPr>
            <a:t> required for operations</a:t>
          </a:r>
          <a:r>
            <a:rPr lang="en-US" sz="1100" baseline="0">
              <a:solidFill>
                <a:schemeClr val="dk1"/>
              </a:solidFill>
              <a:effectLst/>
              <a:latin typeface="+mn-lt"/>
              <a:ea typeface="+mn-ea"/>
              <a:cs typeface="+mn-cs"/>
            </a:rPr>
            <a:t>)</a:t>
          </a:r>
          <a:endParaRPr lang="en-US">
            <a:effectLst/>
          </a:endParaRPr>
        </a:p>
      </xdr:txBody>
    </xdr:sp>
    <xdr:clientData/>
  </xdr:twoCellAnchor>
  <xdr:twoCellAnchor>
    <xdr:from>
      <xdr:col>0</xdr:col>
      <xdr:colOff>20266</xdr:colOff>
      <xdr:row>4</xdr:row>
      <xdr:rowOff>7599</xdr:rowOff>
    </xdr:from>
    <xdr:to>
      <xdr:col>7</xdr:col>
      <xdr:colOff>666243</xdr:colOff>
      <xdr:row>12</xdr:row>
      <xdr:rowOff>192526</xdr:rowOff>
    </xdr:to>
    <xdr:sp macro="" textlink="">
      <xdr:nvSpPr>
        <xdr:cNvPr id="3" name="TextBox 2">
          <a:extLst>
            <a:ext uri="{FF2B5EF4-FFF2-40B4-BE49-F238E27FC236}">
              <a16:creationId xmlns:a16="http://schemas.microsoft.com/office/drawing/2014/main" id="{8B32214B-F7F5-46DA-8497-98FB7B711572}"/>
            </a:ext>
            <a:ext uri="{147F2762-F138-4A5C-976F-8EAC2B608ADB}">
              <a16:predDERef xmlns:a16="http://schemas.microsoft.com/office/drawing/2014/main" pred="{DA6D4587-3480-4330-9FD0-9D4468B5B807}"/>
            </a:ext>
          </a:extLst>
        </xdr:cNvPr>
        <xdr:cNvSpPr txBox="1"/>
      </xdr:nvSpPr>
      <xdr:spPr>
        <a:xfrm>
          <a:off x="20266" y="807699"/>
          <a:ext cx="6865802" cy="17851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solidFill>
                <a:schemeClr val="dk1"/>
              </a:solidFill>
              <a:effectLst/>
              <a:latin typeface="+mn-lt"/>
              <a:ea typeface="+mn-ea"/>
              <a:cs typeface="+mn-cs"/>
            </a:rPr>
            <a:t>d. TE Connectivity</a:t>
          </a:r>
          <a:r>
            <a:rPr lang="en-US" sz="1100" baseline="0">
              <a:solidFill>
                <a:schemeClr val="dk1"/>
              </a:solidFill>
              <a:effectLst/>
              <a:latin typeface="+mn-lt"/>
              <a:ea typeface="+mn-ea"/>
              <a:cs typeface="+mn-cs"/>
            </a:rPr>
            <a:t> is interested in making an acquisition in the sensor market and has identified two potential targets -- Burton and EE. You are a manager in TE's Strategy and Planning Group and have been asked to analyze the two company's 2014-16 financials.  An analyst has completed the below analysis. Write a 1-2 page (single space) executive summary that compares and contrasts the Burton and EE's financial performance, risk, and cash flows. There should be 4 sections. (1) Risk Levels (2016) and Trends (2014-16). (2) Profitability-Growth Levels and Trends (address how they have similar ROEs to eachother and Industry-- but very different methods to achieve profitability), (3) Cashflows Levels and Trends. (BE SURE TO ADDRESS WHY BURTON AND EE HAVE SUCH LARGE DIFFERENCES IN FCFF), (4) Conclusion/Overall Summary. Be ready to discuss in class.</a:t>
          </a:r>
          <a:endParaRPr lang="en-US" sz="12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115724</xdr:colOff>
      <xdr:row>0</xdr:row>
      <xdr:rowOff>57863</xdr:rowOff>
    </xdr:from>
    <xdr:to>
      <xdr:col>7</xdr:col>
      <xdr:colOff>382780</xdr:colOff>
      <xdr:row>7</xdr:row>
      <xdr:rowOff>75667</xdr:rowOff>
    </xdr:to>
    <xdr:sp macro="" textlink="">
      <xdr:nvSpPr>
        <xdr:cNvPr id="2" name="TextBox 1">
          <a:extLst>
            <a:ext uri="{FF2B5EF4-FFF2-40B4-BE49-F238E27FC236}">
              <a16:creationId xmlns:a16="http://schemas.microsoft.com/office/drawing/2014/main" id="{C7830082-E558-4EE3-B19B-05609367FDCA}"/>
            </a:ext>
          </a:extLst>
        </xdr:cNvPr>
        <xdr:cNvSpPr txBox="1"/>
      </xdr:nvSpPr>
      <xdr:spPr>
        <a:xfrm>
          <a:off x="115724" y="57863"/>
          <a:ext cx="6629756" cy="14179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 Compute Burton's stock</a:t>
          </a:r>
          <a:r>
            <a:rPr lang="en-US" sz="1100" baseline="0"/>
            <a:t> price per share using the 2017-21 forecasted B/S, I/S, and SOCF provided. Compute FCFFs (T=1-5), using a 3% FCFF growth perpetuity (T=6+), and a discount rate of 8.5% to compute the enterprise value. Use current (2016) levels of cash, interest bearing debt and cash, and shares outstanding to compute net debt and stock price today. Assume a tax rate of 35%. Assume net working capital includes accounts receivable, inventory</a:t>
          </a:r>
          <a:r>
            <a:rPr lang="en-US" sz="1100" baseline="0">
              <a:solidFill>
                <a:srgbClr val="FF0000"/>
              </a:solidFill>
            </a:rPr>
            <a:t>, accrued expenses</a:t>
          </a:r>
          <a:r>
            <a:rPr lang="en-US" sz="1100" baseline="0"/>
            <a:t>, and accounts payable forecasts.  You must use appropriate formats (inputs, calculation) and clear labels. Hint: EBIT excludes interest. Assume cash is not needed for operations, so use non-cash NWC for FCFF.</a:t>
          </a:r>
          <a:endParaRPr lang="en-US" sz="1100"/>
        </a:p>
      </xdr:txBody>
    </xdr:sp>
    <xdr:clientData/>
  </xdr:twoCellAnchor>
  <xdr:twoCellAnchor>
    <xdr:from>
      <xdr:col>0</xdr:col>
      <xdr:colOff>0</xdr:colOff>
      <xdr:row>35</xdr:row>
      <xdr:rowOff>199300</xdr:rowOff>
    </xdr:from>
    <xdr:to>
      <xdr:col>7</xdr:col>
      <xdr:colOff>267056</xdr:colOff>
      <xdr:row>39</xdr:row>
      <xdr:rowOff>137181</xdr:rowOff>
    </xdr:to>
    <xdr:sp macro="" textlink="">
      <xdr:nvSpPr>
        <xdr:cNvPr id="3" name="TextBox 2">
          <a:extLst>
            <a:ext uri="{FF2B5EF4-FFF2-40B4-BE49-F238E27FC236}">
              <a16:creationId xmlns:a16="http://schemas.microsoft.com/office/drawing/2014/main" id="{AE3BB961-F04D-45B1-8B8B-A861F93144B3}"/>
            </a:ext>
            <a:ext uri="{147F2762-F138-4A5C-976F-8EAC2B608ADB}">
              <a16:predDERef xmlns:a16="http://schemas.microsoft.com/office/drawing/2014/main" pred="{C7830082-E558-4EE3-B19B-05609367FDCA}"/>
            </a:ext>
          </a:extLst>
        </xdr:cNvPr>
        <xdr:cNvSpPr txBox="1"/>
      </xdr:nvSpPr>
      <xdr:spPr>
        <a:xfrm>
          <a:off x="0" y="7200175"/>
          <a:ext cx="6629756" cy="73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b. Value</a:t>
          </a:r>
          <a:r>
            <a:rPr lang="en-US" sz="1100" baseline="0"/>
            <a:t> Burton's stock by multiplying an appropriate Price-Earnings ratio to its 2016 EPS. Use the 4 sensor industry stocks provided in the case (TEL, AME, OPS, CBYE) by either using the average industry PE ratio or the PE ratio of the most comparable stock.  </a:t>
          </a:r>
        </a:p>
      </xdr:txBody>
    </xdr:sp>
    <xdr:clientData/>
  </xdr:twoCellAnchor>
  <xdr:twoCellAnchor>
    <xdr:from>
      <xdr:col>0</xdr:col>
      <xdr:colOff>141203</xdr:colOff>
      <xdr:row>46</xdr:row>
      <xdr:rowOff>29552</xdr:rowOff>
    </xdr:from>
    <xdr:to>
      <xdr:col>7</xdr:col>
      <xdr:colOff>638629</xdr:colOff>
      <xdr:row>62</xdr:row>
      <xdr:rowOff>36286</xdr:rowOff>
    </xdr:to>
    <xdr:sp macro="" textlink="">
      <xdr:nvSpPr>
        <xdr:cNvPr id="4" name="TextBox 3">
          <a:extLst>
            <a:ext uri="{FF2B5EF4-FFF2-40B4-BE49-F238E27FC236}">
              <a16:creationId xmlns:a16="http://schemas.microsoft.com/office/drawing/2014/main" id="{9FA8AD69-8448-454F-82EE-D0ABF6A9F4F4}"/>
            </a:ext>
            <a:ext uri="{147F2762-F138-4A5C-976F-8EAC2B608ADB}">
              <a16:predDERef xmlns:a16="http://schemas.microsoft.com/office/drawing/2014/main" pred="{AE3BB961-F04D-45B1-8B8B-A861F93144B3}"/>
            </a:ext>
          </a:extLst>
        </xdr:cNvPr>
        <xdr:cNvSpPr txBox="1"/>
      </xdr:nvSpPr>
      <xdr:spPr>
        <a:xfrm>
          <a:off x="141203" y="9376752"/>
          <a:ext cx="6861940" cy="3257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c. Summarize your analysis and recommend</a:t>
          </a:r>
          <a:r>
            <a:rPr lang="en-US" sz="1100" baseline="0"/>
            <a:t> if you should buy </a:t>
          </a:r>
          <a:r>
            <a:rPr lang="en-US" sz="1100"/>
            <a:t>Burton stock</a:t>
          </a:r>
          <a:r>
            <a:rPr lang="en-US" sz="1100" baseline="0"/>
            <a:t> if it's selling for $4.75 per share in the OTC market. B</a:t>
          </a:r>
          <a:r>
            <a:rPr lang="en-US" sz="1100" baseline="0">
              <a:solidFill>
                <a:schemeClr val="dk1"/>
              </a:solidFill>
              <a:effectLst/>
              <a:latin typeface="+mn-lt"/>
              <a:ea typeface="+mn-ea"/>
              <a:cs typeface="+mn-cs"/>
            </a:rPr>
            <a:t>e sure to discuss the valuations in a. and b. as well as the advantages and disadvantages of DCF vs. price multiples. </a:t>
          </a:r>
          <a:endParaRPr lang="en-US">
            <a:effectLst/>
          </a:endParaRPr>
        </a:p>
        <a:p>
          <a:endParaRPr lang="en-US" sz="1100" baseline="0"/>
        </a:p>
        <a:p>
          <a:r>
            <a:rPr lang="en-US"/>
            <a:t>We would recommend buying Burton stock at the current OTC price of $4.75 per share. Looking at both valuation methods, the stock is slightly above the DCF value but still below the value from the price multiples approach. Taking both into account gives a more balanced view and points toward a reasonable buying opportunity.</a:t>
          </a:r>
        </a:p>
        <a:p>
          <a:r>
            <a:rPr lang="en-US"/>
            <a:t>Based on the DCF analysis, Burton’s estimated value is about $4.62 per share. The benefit of using DCF is that it focuses on the company’s future performance, including factors like free cash flow, growth, and capital spending. However, the downside is that it relies heavily on assumptions, especially the discount rate and growth projections, which can easily change the final valuation.</a:t>
          </a:r>
        </a:p>
        <a:p>
          <a:r>
            <a:rPr lang="en-US"/>
            <a:t>Using price multiples, Burton’s estimated value comes out to around $4.98 per share. This suggests the stock is slightly undervalued compared to similar companies, which supports buying at $4.75. The advantage of this method is that it reflects how the market is valuing comparable firms. On the other hand, it is more based on past data and doesn’t fully capture future expectations. It can also be influenced by how companies report earnings.</a:t>
          </a:r>
        </a:p>
        <a:p>
          <a:r>
            <a:rPr lang="en-US"/>
            <a:t>Overall, while the DCF suggests the stock is fairly valued, the price multiples show a bit of upside. When combining both approaches, it supports the idea that buying the stock at $4.75 is a reasonable decision.</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56584</xdr:colOff>
      <xdr:row>0</xdr:row>
      <xdr:rowOff>33007</xdr:rowOff>
    </xdr:from>
    <xdr:to>
      <xdr:col>8</xdr:col>
      <xdr:colOff>739440</xdr:colOff>
      <xdr:row>3</xdr:row>
      <xdr:rowOff>103738</xdr:rowOff>
    </xdr:to>
    <xdr:sp macro="" textlink="">
      <xdr:nvSpPr>
        <xdr:cNvPr id="2" name="TextBox 1">
          <a:extLst>
            <a:ext uri="{FF2B5EF4-FFF2-40B4-BE49-F238E27FC236}">
              <a16:creationId xmlns:a16="http://schemas.microsoft.com/office/drawing/2014/main" id="{7BACDBF7-924E-4A4D-944C-E2B8BBE33EB0}"/>
            </a:ext>
          </a:extLst>
        </xdr:cNvPr>
        <xdr:cNvSpPr txBox="1"/>
      </xdr:nvSpPr>
      <xdr:spPr>
        <a:xfrm>
          <a:off x="56584" y="33007"/>
          <a:ext cx="7721831" cy="642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3A. What is the</a:t>
          </a:r>
          <a:r>
            <a:rPr lang="en-US" sz="1100" baseline="0"/>
            <a:t> IRR, NPV, and Payback of the Thermowell Machine FCFF described in the case study? Assume pre-tax cost savings will constant at $1.4M, tax rate = 35%, and discount rate of 8.5%. Hint: you may treat cost savings as revenue. Use a straight line depreciation with no salvage. Estimate Cashflows for 7 years.</a:t>
          </a:r>
          <a:endParaRPr lang="en-US" sz="1100"/>
        </a:p>
      </xdr:txBody>
    </xdr:sp>
    <xdr:clientData/>
  </xdr:twoCellAnchor>
  <xdr:twoCellAnchor>
    <xdr:from>
      <xdr:col>0</xdr:col>
      <xdr:colOff>73354</xdr:colOff>
      <xdr:row>23</xdr:row>
      <xdr:rowOff>66545</xdr:rowOff>
    </xdr:from>
    <xdr:to>
      <xdr:col>8</xdr:col>
      <xdr:colOff>756210</xdr:colOff>
      <xdr:row>26</xdr:row>
      <xdr:rowOff>137276</xdr:rowOff>
    </xdr:to>
    <xdr:sp macro="" textlink="">
      <xdr:nvSpPr>
        <xdr:cNvPr id="3" name="TextBox 2">
          <a:extLst>
            <a:ext uri="{FF2B5EF4-FFF2-40B4-BE49-F238E27FC236}">
              <a16:creationId xmlns:a16="http://schemas.microsoft.com/office/drawing/2014/main" id="{05FBBA91-DBFA-4EBC-AD1C-EF228F56DA2E}"/>
            </a:ext>
            <a:ext uri="{147F2762-F138-4A5C-976F-8EAC2B608ADB}">
              <a16:predDERef xmlns:a16="http://schemas.microsoft.com/office/drawing/2014/main" pred="{7BACDBF7-924E-4A4D-944C-E2B8BBE33EB0}"/>
            </a:ext>
          </a:extLst>
        </xdr:cNvPr>
        <xdr:cNvSpPr txBox="1"/>
      </xdr:nvSpPr>
      <xdr:spPr>
        <a:xfrm>
          <a:off x="73354" y="4448045"/>
          <a:ext cx="7721831" cy="642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3B. Compute FCFEs (T=0-7)</a:t>
          </a:r>
          <a:r>
            <a:rPr lang="en-US" sz="1100" baseline="0"/>
            <a:t> assuming 50% of investment in Capex and working capital is financed using a 5.5% APR, 7-year, amortizing, ANNUAL (not monthly) payment loan. Hint: FCFE = Net Income - Capex + Salvage - Changes in Net Working Capital + Depreciation +/- Loan Principal Cash Flows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66675</xdr:colOff>
      <xdr:row>3</xdr:row>
      <xdr:rowOff>161925</xdr:rowOff>
    </xdr:from>
    <xdr:to>
      <xdr:col>6</xdr:col>
      <xdr:colOff>60325</xdr:colOff>
      <xdr:row>20</xdr:row>
      <xdr:rowOff>41275</xdr:rowOff>
    </xdr:to>
    <xdr:graphicFrame macro="">
      <xdr:nvGraphicFramePr>
        <xdr:cNvPr id="2" name="Chart 1">
          <a:extLst>
            <a:ext uri="{FF2B5EF4-FFF2-40B4-BE49-F238E27FC236}">
              <a16:creationId xmlns:a16="http://schemas.microsoft.com/office/drawing/2014/main" id="{BA54D6F5-FA06-45B6-9C49-7D3E47253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36763</xdr:colOff>
      <xdr:row>0</xdr:row>
      <xdr:rowOff>60994</xdr:rowOff>
    </xdr:from>
    <xdr:to>
      <xdr:col>7</xdr:col>
      <xdr:colOff>661737</xdr:colOff>
      <xdr:row>8</xdr:row>
      <xdr:rowOff>95251</xdr:rowOff>
    </xdr:to>
    <xdr:sp macro="" textlink="">
      <xdr:nvSpPr>
        <xdr:cNvPr id="3" name="TextBox 2">
          <a:extLst>
            <a:ext uri="{FF2B5EF4-FFF2-40B4-BE49-F238E27FC236}">
              <a16:creationId xmlns:a16="http://schemas.microsoft.com/office/drawing/2014/main" id="{1264F2C1-1C38-4D38-9F5A-AD4BF93A7759}"/>
            </a:ext>
          </a:extLst>
        </xdr:cNvPr>
        <xdr:cNvSpPr txBox="1"/>
      </xdr:nvSpPr>
      <xdr:spPr>
        <a:xfrm>
          <a:off x="36763" y="60994"/>
          <a:ext cx="5698290" cy="836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a:t>2. Compute Burton's</a:t>
          </a:r>
          <a:r>
            <a:rPr lang="en-US" sz="1100" baseline="0"/>
            <a:t> cost of equity and WACC. </a:t>
          </a:r>
          <a:r>
            <a:rPr lang="en-US" sz="1100"/>
            <a:t>Compute</a:t>
          </a:r>
          <a:r>
            <a:rPr lang="en-US" sz="1100" baseline="0"/>
            <a:t> 2016 unlevered betas for each firm in Exhibit 4 "Sensor Industry" by unlevering the equity betas provided using the most recent market D/E ratio (D/Market Cap). Compute a market cap weighted industry beta (weighting each unlevered beta by most recent market capitalizations. Lever the industry unlevered beta using Burton's 2016 leverage (net debt / OTC market cap). Then compute Burton CAPM Ke using assumptions below. Then Compute Burton WACC using 2016 interest rate on long term debt (Kd), 2016 tax rate, OTC market value of stock, and net debt at end of 2016. </a:t>
          </a:r>
          <a:r>
            <a:rPr lang="en-US" sz="1100" baseline="0">
              <a:solidFill>
                <a:schemeClr val="dk1"/>
              </a:solidFill>
              <a:effectLst/>
              <a:latin typeface="+mn-lt"/>
              <a:ea typeface="+mn-ea"/>
              <a:cs typeface="+mn-cs"/>
            </a:rPr>
            <a:t>Burton debt includes long term debt, current portion of debt, and bank loans. Assume Burton does not need cash for operations.</a:t>
          </a:r>
          <a:endParaRPr lang="en-US">
            <a:effectLst/>
          </a:endParaRPr>
        </a:p>
        <a:p>
          <a:endParaRPr lang="en-US" sz="1100"/>
        </a:p>
      </xdr:txBody>
    </xdr:sp>
    <xdr:clientData/>
  </xdr:twoCellAnchor>
  <xdr:twoCellAnchor>
    <xdr:from>
      <xdr:col>0</xdr:col>
      <xdr:colOff>25066</xdr:colOff>
      <xdr:row>25</xdr:row>
      <xdr:rowOff>65173</xdr:rowOff>
    </xdr:from>
    <xdr:to>
      <xdr:col>7</xdr:col>
      <xdr:colOff>650040</xdr:colOff>
      <xdr:row>30</xdr:row>
      <xdr:rowOff>122822</xdr:rowOff>
    </xdr:to>
    <xdr:sp macro="" textlink="">
      <xdr:nvSpPr>
        <xdr:cNvPr id="9" name="TextBox 8">
          <a:extLst>
            <a:ext uri="{FF2B5EF4-FFF2-40B4-BE49-F238E27FC236}">
              <a16:creationId xmlns:a16="http://schemas.microsoft.com/office/drawing/2014/main" id="{F808B8DA-4135-443C-B23B-C2C79B03B95E}"/>
            </a:ext>
          </a:extLst>
        </xdr:cNvPr>
        <xdr:cNvSpPr txBox="1"/>
      </xdr:nvSpPr>
      <xdr:spPr>
        <a:xfrm>
          <a:off x="25066" y="9890962"/>
          <a:ext cx="6026652" cy="4587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A small private firm in this industry is trying to determine</a:t>
          </a:r>
          <a:r>
            <a:rPr lang="en-US" sz="1100" baseline="0"/>
            <a:t> an appropriate WACC to value the firm. What is its WACC if its current market D/E is 0.35, tax rate is 32%, and cost of debt is 5.4%? Use the  industry unlevered beta and the private firms current capital structure.  Add a small-firm risk premium of 3% to Ke and Kd. </a:t>
          </a:r>
          <a:r>
            <a:rPr lang="en-US" sz="1100" baseline="0">
              <a:solidFill>
                <a:schemeClr val="dk1"/>
              </a:solidFill>
              <a:effectLst/>
              <a:latin typeface="+mn-lt"/>
              <a:ea typeface="+mn-ea"/>
              <a:cs typeface="+mn-cs"/>
            </a:rPr>
            <a:t>Assume a risk-free rate of 3%, and MRP of 5.8%. </a:t>
          </a:r>
          <a:endParaRPr lang="en-US" sz="1100" baseline="0"/>
        </a:p>
        <a:p>
          <a:endParaRPr lang="en-US" sz="1100"/>
        </a:p>
      </xdr:txBody>
    </xdr:sp>
    <xdr:clientData/>
  </xdr:twoCellAnchor>
  <xdr:twoCellAnchor>
    <xdr:from>
      <xdr:col>0</xdr:col>
      <xdr:colOff>57651</xdr:colOff>
      <xdr:row>40</xdr:row>
      <xdr:rowOff>93246</xdr:rowOff>
    </xdr:from>
    <xdr:to>
      <xdr:col>8</xdr:col>
      <xdr:colOff>143239</xdr:colOff>
      <xdr:row>43</xdr:row>
      <xdr:rowOff>175461</xdr:rowOff>
    </xdr:to>
    <xdr:sp macro="" textlink="">
      <xdr:nvSpPr>
        <xdr:cNvPr id="10" name="TextBox 9">
          <a:extLst>
            <a:ext uri="{FF2B5EF4-FFF2-40B4-BE49-F238E27FC236}">
              <a16:creationId xmlns:a16="http://schemas.microsoft.com/office/drawing/2014/main" id="{FE7B20FE-AC4C-467C-9799-2750796A98AF}"/>
            </a:ext>
          </a:extLst>
        </xdr:cNvPr>
        <xdr:cNvSpPr txBox="1"/>
      </xdr:nvSpPr>
      <xdr:spPr>
        <a:xfrm>
          <a:off x="57651" y="12926930"/>
          <a:ext cx="6174069" cy="483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 A company is trying to determine</a:t>
          </a:r>
          <a:r>
            <a:rPr lang="en-US" sz="1100" baseline="0"/>
            <a:t> its optimal capital structure that minimizes WACC. Compute the WACC for each D/E and Kd scenario below and determine its optimal D/E ratio. This is not related to previous problems.</a:t>
          </a:r>
          <a:endParaRPr lang="en-US" sz="1100"/>
        </a:p>
      </xdr:txBody>
    </xdr:sp>
    <xdr:clientData/>
  </xdr:twoCellAnchor>
  <xdr:twoCellAnchor>
    <xdr:from>
      <xdr:col>2</xdr:col>
      <xdr:colOff>161193</xdr:colOff>
      <xdr:row>31</xdr:row>
      <xdr:rowOff>161192</xdr:rowOff>
    </xdr:from>
    <xdr:to>
      <xdr:col>7</xdr:col>
      <xdr:colOff>458420</xdr:colOff>
      <xdr:row>39</xdr:row>
      <xdr:rowOff>48113</xdr:rowOff>
    </xdr:to>
    <xdr:sp macro="" textlink="">
      <xdr:nvSpPr>
        <xdr:cNvPr id="2" name="TextBox 1">
          <a:extLst>
            <a:ext uri="{FF2B5EF4-FFF2-40B4-BE49-F238E27FC236}">
              <a16:creationId xmlns:a16="http://schemas.microsoft.com/office/drawing/2014/main" id="{3E820C85-B733-A10A-AAE8-63F3248DF8BF}"/>
            </a:ext>
          </a:extLst>
        </xdr:cNvPr>
        <xdr:cNvSpPr txBox="1"/>
      </xdr:nvSpPr>
      <xdr:spPr>
        <a:xfrm>
          <a:off x="2022231" y="6293827"/>
          <a:ext cx="3704247" cy="146953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When</a:t>
          </a:r>
          <a:r>
            <a:rPr lang="en-US" sz="1100" baseline="0"/>
            <a:t> you regress stock returns against the market. The resulting best fit line slope is called the beta. It is also called the equity beta, stock beta or levered beta. When you divided this levered beta by (1+ D/E) it is called the unlevered beta. If you multiply an unlevered beta by (!+ D/E) it is again called a levered beta. Always use levered betas in the CAPM fomrmula unness the firm has zero debt.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48840</xdr:colOff>
      <xdr:row>0</xdr:row>
      <xdr:rowOff>34280</xdr:rowOff>
    </xdr:from>
    <xdr:to>
      <xdr:col>8</xdr:col>
      <xdr:colOff>541979</xdr:colOff>
      <xdr:row>2</xdr:row>
      <xdr:rowOff>155267</xdr:rowOff>
    </xdr:to>
    <xdr:sp macro="" textlink="">
      <xdr:nvSpPr>
        <xdr:cNvPr id="3" name="TextBox 2">
          <a:extLst>
            <a:ext uri="{FF2B5EF4-FFF2-40B4-BE49-F238E27FC236}">
              <a16:creationId xmlns:a16="http://schemas.microsoft.com/office/drawing/2014/main" id="{68A30179-3117-4735-A811-3102F939397B}"/>
            </a:ext>
          </a:extLst>
        </xdr:cNvPr>
        <xdr:cNvSpPr txBox="1"/>
      </xdr:nvSpPr>
      <xdr:spPr>
        <a:xfrm>
          <a:off x="48840" y="34280"/>
          <a:ext cx="7005714" cy="5226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 </a:t>
          </a:r>
          <a:r>
            <a:rPr lang="en-US" sz="1100" baseline="0">
              <a:solidFill>
                <a:schemeClr val="dk1"/>
              </a:solidFill>
              <a:effectLst/>
              <a:latin typeface="+mn-lt"/>
              <a:ea typeface="+mn-ea"/>
              <a:cs typeface="+mn-cs"/>
            </a:rPr>
            <a:t>Show the combined financials i</a:t>
          </a:r>
          <a:r>
            <a:rPr lang="en-US" sz="1100"/>
            <a:t>f</a:t>
          </a:r>
          <a:r>
            <a:rPr lang="en-US" sz="1100" baseline="0"/>
            <a:t> Burton acquires EE at the end of 2016 for $6.867 million cash by issuing additional Burton stock at a price of $4.75/share.</a:t>
          </a:r>
          <a:endParaRPr lang="en-US" sz="1100"/>
        </a:p>
      </xdr:txBody>
    </xdr:sp>
    <xdr:clientData/>
  </xdr:twoCellAnchor>
  <xdr:twoCellAnchor>
    <xdr:from>
      <xdr:col>0</xdr:col>
      <xdr:colOff>30562</xdr:colOff>
      <xdr:row>18</xdr:row>
      <xdr:rowOff>190500</xdr:rowOff>
    </xdr:from>
    <xdr:to>
      <xdr:col>8</xdr:col>
      <xdr:colOff>523701</xdr:colOff>
      <xdr:row>23</xdr:row>
      <xdr:rowOff>11458</xdr:rowOff>
    </xdr:to>
    <xdr:sp macro="" textlink="">
      <xdr:nvSpPr>
        <xdr:cNvPr id="6" name="TextBox 5">
          <a:extLst>
            <a:ext uri="{FF2B5EF4-FFF2-40B4-BE49-F238E27FC236}">
              <a16:creationId xmlns:a16="http://schemas.microsoft.com/office/drawing/2014/main" id="{19D27DB8-A0D1-4909-B278-3C6236103E4F}"/>
            </a:ext>
          </a:extLst>
        </xdr:cNvPr>
        <xdr:cNvSpPr txBox="1"/>
      </xdr:nvSpPr>
      <xdr:spPr>
        <a:xfrm>
          <a:off x="30562" y="3768587"/>
          <a:ext cx="6903878" cy="814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7. </a:t>
          </a:r>
          <a:r>
            <a:rPr lang="en-US" sz="1100" baseline="0">
              <a:solidFill>
                <a:schemeClr val="dk1"/>
              </a:solidFill>
              <a:effectLst/>
              <a:latin typeface="+mn-lt"/>
              <a:ea typeface="+mn-ea"/>
              <a:cs typeface="+mn-cs"/>
            </a:rPr>
            <a:t>Estimate the impact of the possible private equity issuance on the bank covenents and Marshall's target. Assume deal closes at year end 2016. Deal: Burton issues 450 thousand shares at $3.50/share to a private investor and uses it to paydown the bank loan. There are also 50k shares paid to the consulting broker that increases equity but does not create cash to paydown debt. Assume no EE purchase.</a:t>
          </a:r>
          <a:endParaRPr lang="en-US" sz="1100"/>
        </a:p>
      </xdr:txBody>
    </xdr:sp>
    <xdr:clientData/>
  </xdr:twoCellAnchor>
  <xdr:twoCellAnchor>
    <xdr:from>
      <xdr:col>0</xdr:col>
      <xdr:colOff>37352</xdr:colOff>
      <xdr:row>12</xdr:row>
      <xdr:rowOff>3396</xdr:rowOff>
    </xdr:from>
    <xdr:to>
      <xdr:col>8</xdr:col>
      <xdr:colOff>530491</xdr:colOff>
      <xdr:row>14</xdr:row>
      <xdr:rowOff>114858</xdr:rowOff>
    </xdr:to>
    <xdr:sp macro="" textlink="">
      <xdr:nvSpPr>
        <xdr:cNvPr id="7" name="TextBox 6">
          <a:extLst>
            <a:ext uri="{FF2B5EF4-FFF2-40B4-BE49-F238E27FC236}">
              <a16:creationId xmlns:a16="http://schemas.microsoft.com/office/drawing/2014/main" id="{1AD028A7-F17C-F179-C7E3-FCAF303443A9}"/>
            </a:ext>
          </a:extLst>
        </xdr:cNvPr>
        <xdr:cNvSpPr txBox="1"/>
      </xdr:nvSpPr>
      <xdr:spPr>
        <a:xfrm>
          <a:off x="37352" y="7290615"/>
          <a:ext cx="6432257" cy="5053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 </a:t>
          </a:r>
          <a:r>
            <a:rPr lang="en-US" sz="1100" baseline="0">
              <a:solidFill>
                <a:schemeClr val="dk1"/>
              </a:solidFill>
              <a:effectLst/>
              <a:latin typeface="+mn-lt"/>
              <a:ea typeface="+mn-ea"/>
              <a:cs typeface="+mn-cs"/>
            </a:rPr>
            <a:t>Estimate the impact of Burton's EE acquisition on the bank covenants and Marshall's target. Assume deal closes at year end 2016. Assume EE is purchased for $6.867M in exchange for Burton shares.</a:t>
          </a:r>
          <a:endParaRPr lang="en-US" sz="1100"/>
        </a:p>
      </xdr:txBody>
    </xdr:sp>
    <xdr:clientData/>
  </xdr:twoCellAnchor>
  <xdr:twoCellAnchor>
    <xdr:from>
      <xdr:col>0</xdr:col>
      <xdr:colOff>30562</xdr:colOff>
      <xdr:row>27</xdr:row>
      <xdr:rowOff>57727</xdr:rowOff>
    </xdr:from>
    <xdr:to>
      <xdr:col>8</xdr:col>
      <xdr:colOff>523701</xdr:colOff>
      <xdr:row>32</xdr:row>
      <xdr:rowOff>159002</xdr:rowOff>
    </xdr:to>
    <xdr:sp macro="" textlink="">
      <xdr:nvSpPr>
        <xdr:cNvPr id="8" name="TextBox 7">
          <a:extLst>
            <a:ext uri="{FF2B5EF4-FFF2-40B4-BE49-F238E27FC236}">
              <a16:creationId xmlns:a16="http://schemas.microsoft.com/office/drawing/2014/main" id="{CF5A43D8-9D0C-4282-89B9-BD73E71A8354}"/>
            </a:ext>
          </a:extLst>
        </xdr:cNvPr>
        <xdr:cNvSpPr txBox="1"/>
      </xdr:nvSpPr>
      <xdr:spPr>
        <a:xfrm>
          <a:off x="30562" y="3799813"/>
          <a:ext cx="6496775" cy="692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8. </a:t>
          </a:r>
          <a:r>
            <a:rPr lang="en-US" sz="1100" baseline="0">
              <a:solidFill>
                <a:schemeClr val="dk1"/>
              </a:solidFill>
              <a:effectLst/>
              <a:latin typeface="+mn-lt"/>
              <a:ea typeface="+mn-ea"/>
              <a:cs typeface="+mn-cs"/>
            </a:rPr>
            <a:t>Estimate the impact of the possible purchase of Thermowells on the bank covenents and Marshall's target. Assume deal closes at year end 2016. Deal: Finance Thermowell capex and working capital with an additional in $1.25M bank loans. Note: Assume additional loan is possible, even though bank will not likely to lend additional funds at this time.  Assume no EE purchase or private equity issuance. Thermowells require an investment of $650k in inventory and a $600k investment in capex.</a:t>
          </a:r>
          <a:endParaRPr lang="en-US">
            <a:effectLst/>
          </a:endParaRPr>
        </a:p>
        <a:p>
          <a:endParaRPr lang="en-US" sz="1100"/>
        </a:p>
      </xdr:txBody>
    </xdr:sp>
    <xdr:clientData/>
  </xdr:twoCellAnchor>
  <xdr:twoCellAnchor>
    <xdr:from>
      <xdr:col>0</xdr:col>
      <xdr:colOff>0</xdr:colOff>
      <xdr:row>37</xdr:row>
      <xdr:rowOff>50596</xdr:rowOff>
    </xdr:from>
    <xdr:to>
      <xdr:col>9</xdr:col>
      <xdr:colOff>597477</xdr:colOff>
      <xdr:row>42</xdr:row>
      <xdr:rowOff>159599</xdr:rowOff>
    </xdr:to>
    <xdr:sp macro="" textlink="">
      <xdr:nvSpPr>
        <xdr:cNvPr id="9" name="TextBox 8">
          <a:extLst>
            <a:ext uri="{FF2B5EF4-FFF2-40B4-BE49-F238E27FC236}">
              <a16:creationId xmlns:a16="http://schemas.microsoft.com/office/drawing/2014/main" id="{737C1D68-34B2-4C29-BFAA-FA3DE9D4B578}"/>
            </a:ext>
          </a:extLst>
        </xdr:cNvPr>
        <xdr:cNvSpPr txBox="1"/>
      </xdr:nvSpPr>
      <xdr:spPr>
        <a:xfrm>
          <a:off x="0" y="7140863"/>
          <a:ext cx="7259883" cy="699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a:solidFill>
                <a:schemeClr val="dk1"/>
              </a:solidFill>
              <a:effectLst/>
              <a:latin typeface="+mn-lt"/>
              <a:ea typeface="+mn-ea"/>
              <a:cs typeface="+mn-cs"/>
            </a:rPr>
            <a:t>9. What is the NPV</a:t>
          </a:r>
          <a:r>
            <a:rPr lang="en-US" sz="1100" baseline="0">
              <a:solidFill>
                <a:schemeClr val="dk1"/>
              </a:solidFill>
              <a:effectLst/>
              <a:latin typeface="+mn-lt"/>
              <a:ea typeface="+mn-ea"/>
              <a:cs typeface="+mn-cs"/>
            </a:rPr>
            <a:t> of the private stock issuance. Assume the NPV is equal to the difference between the isssuance price and your valuation of Burton stock times the number of share issued. The NPV would be reduced by the 50k shares issued to the consulting firm that would broker the deal. The NPV would not include any intangible benefits of the increased debt capacity. Use the valuation cashflows of Burton in assignment #4 and the WACC from this assignment to value Burton. The issuance price is $3.5 for 450 thousand shares. </a:t>
          </a:r>
          <a:endParaRPr lang="en-US">
            <a:effectLst/>
          </a:endParaRPr>
        </a:p>
      </xdr:txBody>
    </xdr:sp>
    <xdr:clientData/>
  </xdr:twoCellAnchor>
  <xdr:twoCellAnchor>
    <xdr:from>
      <xdr:col>0</xdr:col>
      <xdr:colOff>47320</xdr:colOff>
      <xdr:row>46</xdr:row>
      <xdr:rowOff>122467</xdr:rowOff>
    </xdr:from>
    <xdr:to>
      <xdr:col>10</xdr:col>
      <xdr:colOff>447261</xdr:colOff>
      <xdr:row>52</xdr:row>
      <xdr:rowOff>152807</xdr:rowOff>
    </xdr:to>
    <xdr:sp macro="" textlink="">
      <xdr:nvSpPr>
        <xdr:cNvPr id="10" name="TextBox 9">
          <a:extLst>
            <a:ext uri="{FF2B5EF4-FFF2-40B4-BE49-F238E27FC236}">
              <a16:creationId xmlns:a16="http://schemas.microsoft.com/office/drawing/2014/main" id="{F5C0FBFC-DE5D-4E23-9816-914A48C48147}"/>
            </a:ext>
          </a:extLst>
        </xdr:cNvPr>
        <xdr:cNvSpPr txBox="1"/>
      </xdr:nvSpPr>
      <xdr:spPr>
        <a:xfrm>
          <a:off x="47320" y="8868902"/>
          <a:ext cx="8119332" cy="1223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a:effectLst/>
            </a:rPr>
            <a:t>10. Assume Amy Marshal and her family</a:t>
          </a:r>
          <a:r>
            <a:rPr lang="en-US" baseline="0">
              <a:effectLst/>
            </a:rPr>
            <a:t> effectively control 100% of existing Burton shares.  The marshal family would like to control &gt;50% of shares. She would be willing to give a majority only if the deal creates significant value.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a. What is Marshal Family Percentage Ownership if the private stock is issued? (include the 50k banker shares)</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What is Marshal Family Percentage Ownership if EE is purchased? What is EE's ownership? (assume $6.867M deal at $4.75 exchange price)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c. What is Marshal Family Percentage Ownership if EE is purchased and the stock is issued? What is EE's ownership? (include EE shares, private equity shares and 50k broker shares)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eaLnBrk="1" fontAlgn="auto" latinLnBrk="0" hangingPunct="1"/>
          <a:endParaRPr lang="en-US">
            <a:effectLst/>
          </a:endParaRPr>
        </a:p>
      </xdr:txBody>
    </xdr:sp>
    <xdr:clientData/>
  </xdr:twoCellAnchor>
  <xdr:twoCellAnchor>
    <xdr:from>
      <xdr:col>0</xdr:col>
      <xdr:colOff>47320</xdr:colOff>
      <xdr:row>58</xdr:row>
      <xdr:rowOff>122467</xdr:rowOff>
    </xdr:from>
    <xdr:to>
      <xdr:col>10</xdr:col>
      <xdr:colOff>533400</xdr:colOff>
      <xdr:row>60</xdr:row>
      <xdr:rowOff>35718</xdr:rowOff>
    </xdr:to>
    <xdr:sp macro="" textlink="">
      <xdr:nvSpPr>
        <xdr:cNvPr id="2" name="TextBox 1">
          <a:extLst>
            <a:ext uri="{FF2B5EF4-FFF2-40B4-BE49-F238E27FC236}">
              <a16:creationId xmlns:a16="http://schemas.microsoft.com/office/drawing/2014/main" id="{6F08F3BA-8F49-4569-9BC3-65AD4BFAEF8D}"/>
            </a:ext>
          </a:extLst>
        </xdr:cNvPr>
        <xdr:cNvSpPr txBox="1"/>
      </xdr:nvSpPr>
      <xdr:spPr>
        <a:xfrm>
          <a:off x="50495" y="11327042"/>
          <a:ext cx="8217205" cy="310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a:effectLst/>
            </a:rPr>
            <a:t>10a. What is the NPV of Thermowells using the FCFFs from assignment #6 and</a:t>
          </a:r>
          <a:r>
            <a:rPr lang="en-US" baseline="0">
              <a:effectLst/>
            </a:rPr>
            <a:t> the Burton WACC from Assignment #7.</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eaLnBrk="1" fontAlgn="auto" latinLnBrk="0" hangingPunct="1"/>
          <a:endParaRPr lang="en-US">
            <a:effectLst/>
          </a:endParaRPr>
        </a:p>
      </xdr:txBody>
    </xdr:sp>
    <xdr:clientData/>
  </xdr:twoCellAnchor>
  <xdr:twoCellAnchor>
    <xdr:from>
      <xdr:col>4</xdr:col>
      <xdr:colOff>46521</xdr:colOff>
      <xdr:row>3</xdr:row>
      <xdr:rowOff>28023</xdr:rowOff>
    </xdr:from>
    <xdr:to>
      <xdr:col>11</xdr:col>
      <xdr:colOff>503307</xdr:colOff>
      <xdr:row>11</xdr:row>
      <xdr:rowOff>140804</xdr:rowOff>
    </xdr:to>
    <xdr:sp macro="" textlink="">
      <xdr:nvSpPr>
        <xdr:cNvPr id="4" name="TextBox 3">
          <a:extLst>
            <a:ext uri="{FF2B5EF4-FFF2-40B4-BE49-F238E27FC236}">
              <a16:creationId xmlns:a16="http://schemas.microsoft.com/office/drawing/2014/main" id="{22D59208-BC71-40C4-9363-65D1822D88E2}"/>
            </a:ext>
          </a:extLst>
        </xdr:cNvPr>
        <xdr:cNvSpPr txBox="1"/>
      </xdr:nvSpPr>
      <xdr:spPr>
        <a:xfrm>
          <a:off x="3649456" y="624371"/>
          <a:ext cx="5227568" cy="170304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The Burton case study discusses</a:t>
          </a:r>
          <a:r>
            <a:rPr lang="en-US" sz="1100" baseline="0"/>
            <a:t> 3 possible actions for Burton:</a:t>
          </a:r>
        </a:p>
        <a:p>
          <a:r>
            <a:rPr lang="en-US" sz="1100" baseline="0"/>
            <a:t>(1) Purchase EE in exchange for Burton Stock</a:t>
          </a:r>
        </a:p>
        <a:p>
          <a:r>
            <a:rPr lang="en-US" sz="1100" baseline="0"/>
            <a:t>(2) Purchase Thermowells</a:t>
          </a:r>
        </a:p>
        <a:p>
          <a:r>
            <a:rPr lang="en-US" sz="1100" baseline="0"/>
            <a:t>(3) Receive cash from a private equity issuance that could be used to paydown debt, buy thermowells, or use for any other purpose</a:t>
          </a:r>
        </a:p>
        <a:p>
          <a:r>
            <a:rPr lang="en-US" sz="1100" baseline="0"/>
            <a:t>Please read the case for details before completing this section. The case also discusses that the bank has placed two "covenents" in the loan contract that Burton cannot exceed two debt ratios listed below. The CEO, Amy Marshal" has a third ratio that she is targeting. The Marshal family currently controls 100% of Burton stock.</a:t>
          </a:r>
        </a:p>
      </xdr:txBody>
    </xdr:sp>
    <xdr:clientData/>
  </xdr:twoCellAnchor>
  <xdr:twoCellAnchor>
    <xdr:from>
      <xdr:col>3</xdr:col>
      <xdr:colOff>145912</xdr:colOff>
      <xdr:row>53</xdr:row>
      <xdr:rowOff>0</xdr:rowOff>
    </xdr:from>
    <xdr:to>
      <xdr:col>8</xdr:col>
      <xdr:colOff>168089</xdr:colOff>
      <xdr:row>56</xdr:row>
      <xdr:rowOff>190500</xdr:rowOff>
    </xdr:to>
    <xdr:sp macro="" textlink="">
      <xdr:nvSpPr>
        <xdr:cNvPr id="5" name="TextBox 4">
          <a:extLst>
            <a:ext uri="{FF2B5EF4-FFF2-40B4-BE49-F238E27FC236}">
              <a16:creationId xmlns:a16="http://schemas.microsoft.com/office/drawing/2014/main" id="{3D9E2FF4-3FBF-462A-A36E-FEF9082217BE}"/>
            </a:ext>
          </a:extLst>
        </xdr:cNvPr>
        <xdr:cNvSpPr txBox="1"/>
      </xdr:nvSpPr>
      <xdr:spPr>
        <a:xfrm>
          <a:off x="2981000" y="10287000"/>
          <a:ext cx="3630471" cy="79561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Show how the Marshal family's ownership percent changes with these three scenarios. Also show what percent EE would own.</a:t>
          </a:r>
        </a:p>
      </xdr:txBody>
    </xdr:sp>
    <xdr:clientData/>
  </xdr:twoCellAnchor>
  <xdr:twoCellAnchor>
    <xdr:from>
      <xdr:col>0</xdr:col>
      <xdr:colOff>29242</xdr:colOff>
      <xdr:row>62</xdr:row>
      <xdr:rowOff>115884</xdr:rowOff>
    </xdr:from>
    <xdr:to>
      <xdr:col>10</xdr:col>
      <xdr:colOff>502622</xdr:colOff>
      <xdr:row>67</xdr:row>
      <xdr:rowOff>31298</xdr:rowOff>
    </xdr:to>
    <xdr:sp macro="" textlink="">
      <xdr:nvSpPr>
        <xdr:cNvPr id="11" name="TextBox 10">
          <a:extLst>
            <a:ext uri="{FF2B5EF4-FFF2-40B4-BE49-F238E27FC236}">
              <a16:creationId xmlns:a16="http://schemas.microsoft.com/office/drawing/2014/main" id="{AD0A2956-64DE-4A0F-90E0-28BFB21DBCC4}"/>
            </a:ext>
          </a:extLst>
        </xdr:cNvPr>
        <xdr:cNvSpPr txBox="1"/>
      </xdr:nvSpPr>
      <xdr:spPr>
        <a:xfrm>
          <a:off x="29242" y="11730034"/>
          <a:ext cx="8429930" cy="8996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a:effectLst/>
            </a:rPr>
            <a:t>10b. When would Burton (without EE</a:t>
          </a:r>
          <a:r>
            <a:rPr lang="en-US" baseline="0">
              <a:effectLst/>
            </a:rPr>
            <a:t> or private equity) have buit up sufficient incremental free cash flows to fund the $1.25M Thermowell investment? Hint: Compute the cumulative FCFF excluding the terminal value - cumulative after-tax interest expense for years 2017 - 2021. You may use FCFFs from the Assignment #4 Burton STOCK Valuation. In which year would they be able to purchase Thermowells with incremental cash?</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eaLnBrk="1" fontAlgn="auto" latinLnBrk="0" hangingPunct="1"/>
          <a:r>
            <a:rPr lang="en-US">
              <a:effectLst/>
            </a:rPr>
            <a:t>'2021</a:t>
          </a:r>
          <a:br>
            <a:rPr lang="en-US">
              <a:effectLst/>
            </a:rPr>
          </a:br>
          <a:endParaRPr lang="en-US">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54841</xdr:colOff>
      <xdr:row>0</xdr:row>
      <xdr:rowOff>40409</xdr:rowOff>
    </xdr:from>
    <xdr:to>
      <xdr:col>9</xdr:col>
      <xdr:colOff>652318</xdr:colOff>
      <xdr:row>4</xdr:row>
      <xdr:rowOff>75045</xdr:rowOff>
    </xdr:to>
    <xdr:sp macro="" textlink="">
      <xdr:nvSpPr>
        <xdr:cNvPr id="2" name="TextBox 1">
          <a:extLst>
            <a:ext uri="{FF2B5EF4-FFF2-40B4-BE49-F238E27FC236}">
              <a16:creationId xmlns:a16="http://schemas.microsoft.com/office/drawing/2014/main" id="{7D006DCA-96CC-4048-9D4F-E4E30547B1F2}"/>
            </a:ext>
          </a:extLst>
        </xdr:cNvPr>
        <xdr:cNvSpPr txBox="1"/>
      </xdr:nvSpPr>
      <xdr:spPr>
        <a:xfrm>
          <a:off x="54841" y="40409"/>
          <a:ext cx="7010977" cy="1030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a:solidFill>
                <a:schemeClr val="dk1"/>
              </a:solidFill>
              <a:effectLst/>
              <a:latin typeface="+mn-lt"/>
              <a:ea typeface="+mn-ea"/>
              <a:cs typeface="+mn-cs"/>
            </a:rPr>
            <a:t>Value EE's stock and compute Burton's NPV for</a:t>
          </a:r>
          <a:r>
            <a:rPr lang="en-US" sz="1100" baseline="0">
              <a:solidFill>
                <a:schemeClr val="dk1"/>
              </a:solidFill>
              <a:effectLst/>
              <a:latin typeface="+mn-lt"/>
              <a:ea typeface="+mn-ea"/>
              <a:cs typeface="+mn-cs"/>
            </a:rPr>
            <a:t> the acquisition of EE? Value EE by discounting 2017-2021 FCFFs by its WACC. Use the 2014-16 actuals, guidance in case pdf, and assumptions needed (probably using historical relationships). Like the Burton valuation, assume it is 1/1/2017 now. Lastly, compute the final NPV including a 9% combined fee to complete the deal that is paid to the bankers, lawyers, and consultants.</a:t>
          </a:r>
          <a:endParaRPr lang="en-US">
            <a:effectLst/>
          </a:endParaRPr>
        </a:p>
      </xdr:txBody>
    </xdr:sp>
    <xdr:clientData/>
  </xdr:twoCellAnchor>
  <xdr:twoCellAnchor>
    <xdr:from>
      <xdr:col>0</xdr:col>
      <xdr:colOff>66212</xdr:colOff>
      <xdr:row>17</xdr:row>
      <xdr:rowOff>78827</xdr:rowOff>
    </xdr:from>
    <xdr:to>
      <xdr:col>6</xdr:col>
      <xdr:colOff>502957</xdr:colOff>
      <xdr:row>23</xdr:row>
      <xdr:rowOff>100926</xdr:rowOff>
    </xdr:to>
    <xdr:sp macro="" textlink="">
      <xdr:nvSpPr>
        <xdr:cNvPr id="3" name="TextBox 2">
          <a:extLst>
            <a:ext uri="{FF2B5EF4-FFF2-40B4-BE49-F238E27FC236}">
              <a16:creationId xmlns:a16="http://schemas.microsoft.com/office/drawing/2014/main" id="{D287031E-A255-43A7-BB27-2354DA6B9579}"/>
            </a:ext>
          </a:extLst>
        </xdr:cNvPr>
        <xdr:cNvSpPr txBox="1"/>
      </xdr:nvSpPr>
      <xdr:spPr>
        <a:xfrm>
          <a:off x="66212" y="3510350"/>
          <a:ext cx="5237093" cy="12332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See the case study for guidance</a:t>
          </a:r>
          <a:r>
            <a:rPr lang="en-US" sz="1100" baseline="0"/>
            <a:t> on EE cashflow estimation. You may need to make assumptions for some variables based on historical trends. The WACC used for the EE valuation should reflect the risk of the sensor's industry plus EE's capital structure. You may assume that EE's market value of equity is equal to the offer price ($6.24) times the number of EE shares outstanding.  If "Net Debt" is negative you may use the WACC formula using a negative D% (D/(D+E)) and an E% &gt; 100%.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593725</xdr:colOff>
      <xdr:row>15</xdr:row>
      <xdr:rowOff>95250</xdr:rowOff>
    </xdr:from>
    <xdr:to>
      <xdr:col>13</xdr:col>
      <xdr:colOff>542925</xdr:colOff>
      <xdr:row>28</xdr:row>
      <xdr:rowOff>149225</xdr:rowOff>
    </xdr:to>
    <xdr:graphicFrame macro="">
      <xdr:nvGraphicFramePr>
        <xdr:cNvPr id="2" name="Chart 1">
          <a:extLst>
            <a:ext uri="{FF2B5EF4-FFF2-40B4-BE49-F238E27FC236}">
              <a16:creationId xmlns:a16="http://schemas.microsoft.com/office/drawing/2014/main" id="{E49AFAFE-C25C-4A92-9ACF-29A1CCE3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nnstateoffice365.sharepoint.com/sites/MBATeam/Shared%20Documents/General/Completed%20Assignments/Team%2010%20Burton%20Sensors,%20Inc.%20Financial%20Analysis%20(Submitted%20).xlsx" TargetMode="External"/><Relationship Id="rId1" Type="http://schemas.openxmlformats.org/officeDocument/2006/relationships/externalLinkPath" Target="https://pennstateoffice365.sharepoint.com/sites/MBATeam/Shared%20Documents/General/Completed%20Assignments/Team%2010%20Burton%20Sensors,%20Inc.%20Financial%20Analysis%20(Submitted%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rton Ratios"/>
      <sheetName val="Prob 2 Burton Stock Value"/>
      <sheetName val="Prob 3 Burton Thermowell"/>
      <sheetName val="Thermowell"/>
      <sheetName val=" 2-4 Burton WACC"/>
      <sheetName val="5-10 Burton M&amp;A"/>
      <sheetName val="11. EE Acq NPV"/>
      <sheetName val="Sheet2"/>
      <sheetName val="EE Acquisition"/>
      <sheetName val="Stock Issuance"/>
      <sheetName val="Additional Analysis"/>
      <sheetName val="Ex. 1 Burton BS"/>
      <sheetName val="Ex. 2 Burton IS"/>
      <sheetName val="Ex. 3 Burton SOCF"/>
      <sheetName val="Ex. 4 Sensor Industry"/>
    </sheetNames>
    <sheetDataSet>
      <sheetData sheetId="0"/>
      <sheetData sheetId="1"/>
      <sheetData sheetId="2"/>
      <sheetData sheetId="3">
        <row r="1">
          <cell r="B1" t="str">
            <v>Y0</v>
          </cell>
          <cell r="C1" t="str">
            <v>Y1</v>
          </cell>
          <cell r="D1" t="str">
            <v>Y2</v>
          </cell>
          <cell r="E1" t="str">
            <v>Y3</v>
          </cell>
          <cell r="F1" t="str">
            <v>Y4</v>
          </cell>
          <cell r="G1" t="str">
            <v>Y5</v>
          </cell>
        </row>
        <row r="2">
          <cell r="B2">
            <v>-1250000</v>
          </cell>
          <cell r="C2">
            <v>-927500</v>
          </cell>
          <cell r="D2">
            <v>-605000</v>
          </cell>
          <cell r="E2">
            <v>-282500</v>
          </cell>
          <cell r="F2">
            <v>40000</v>
          </cell>
          <cell r="G2">
            <v>362500</v>
          </cell>
        </row>
      </sheetData>
      <sheetData sheetId="4"/>
      <sheetData sheetId="5"/>
      <sheetData sheetId="6"/>
      <sheetData sheetId="7"/>
      <sheetData sheetId="8">
        <row r="20">
          <cell r="C20" t="str">
            <v>Burton</v>
          </cell>
          <cell r="D20" t="str">
            <v>Burton, EE, Thermowells, Stock</v>
          </cell>
        </row>
        <row r="21">
          <cell r="B21" t="str">
            <v>Assets</v>
          </cell>
          <cell r="C21">
            <v>10082</v>
          </cell>
          <cell r="D21">
            <v>17570</v>
          </cell>
        </row>
        <row r="22">
          <cell r="B22" t="str">
            <v>Liabilities</v>
          </cell>
          <cell r="C22">
            <v>8537</v>
          </cell>
          <cell r="D22">
            <v>7549</v>
          </cell>
        </row>
        <row r="23">
          <cell r="B23" t="str">
            <v>Equity</v>
          </cell>
          <cell r="C23">
            <v>1545</v>
          </cell>
          <cell r="D23">
            <v>10020</v>
          </cell>
        </row>
      </sheetData>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B0335-A82E-432D-9D25-0D821B37AC4F}">
  <sheetPr>
    <pageSetUpPr fitToPage="1"/>
  </sheetPr>
  <dimension ref="A1:K85"/>
  <sheetViews>
    <sheetView zoomScale="112" zoomScaleNormal="145" workbookViewId="0">
      <selection activeCell="J78" sqref="J78"/>
    </sheetView>
  </sheetViews>
  <sheetFormatPr baseColWidth="10" defaultColWidth="8.83203125" defaultRowHeight="16" x14ac:dyDescent="0.2"/>
  <cols>
    <col min="1" max="1" width="21.6640625" customWidth="1"/>
    <col min="2" max="2" width="15.6640625" customWidth="1"/>
    <col min="3" max="8" width="8.83203125" customWidth="1"/>
  </cols>
  <sheetData>
    <row r="1" spans="1:1" x14ac:dyDescent="0.2">
      <c r="A1" t="s">
        <v>0</v>
      </c>
    </row>
    <row r="2" spans="1:1" x14ac:dyDescent="0.2">
      <c r="A2" t="s">
        <v>1</v>
      </c>
    </row>
    <row r="3" spans="1:1" x14ac:dyDescent="0.2">
      <c r="A3" s="157" t="s">
        <v>2</v>
      </c>
    </row>
    <row r="4" spans="1:1" x14ac:dyDescent="0.2">
      <c r="A4" s="157" t="s">
        <v>3</v>
      </c>
    </row>
    <row r="5" spans="1:1" x14ac:dyDescent="0.2">
      <c r="A5" s="157"/>
    </row>
    <row r="6" spans="1:1" x14ac:dyDescent="0.2">
      <c r="A6" s="157"/>
    </row>
    <row r="7" spans="1:1" x14ac:dyDescent="0.2">
      <c r="A7" s="157"/>
    </row>
    <row r="8" spans="1:1" x14ac:dyDescent="0.2">
      <c r="A8" s="157"/>
    </row>
    <row r="9" spans="1:1" x14ac:dyDescent="0.2">
      <c r="A9" s="157"/>
    </row>
    <row r="10" spans="1:1" x14ac:dyDescent="0.2">
      <c r="A10" s="157"/>
    </row>
    <row r="11" spans="1:1" x14ac:dyDescent="0.2">
      <c r="A11" s="157"/>
    </row>
    <row r="12" spans="1:1" x14ac:dyDescent="0.2">
      <c r="A12" s="157"/>
    </row>
    <row r="13" spans="1:1" x14ac:dyDescent="0.2">
      <c r="A13" s="157"/>
    </row>
    <row r="14" spans="1:1" x14ac:dyDescent="0.2">
      <c r="A14" s="157"/>
    </row>
    <row r="15" spans="1:1" x14ac:dyDescent="0.2">
      <c r="A15" s="157"/>
    </row>
    <row r="16" spans="1:1" x14ac:dyDescent="0.2">
      <c r="A16" s="157"/>
    </row>
    <row r="17" spans="1:8" x14ac:dyDescent="0.2">
      <c r="A17" s="157"/>
    </row>
    <row r="18" spans="1:8" x14ac:dyDescent="0.2">
      <c r="A18" s="157"/>
    </row>
    <row r="20" spans="1:8" x14ac:dyDescent="0.2">
      <c r="B20" s="61"/>
      <c r="C20" s="230" t="s">
        <v>4</v>
      </c>
      <c r="D20" s="230"/>
      <c r="E20" s="230"/>
      <c r="F20" s="230" t="s">
        <v>5</v>
      </c>
      <c r="G20" s="230"/>
      <c r="H20" s="230"/>
    </row>
    <row r="21" spans="1:8" x14ac:dyDescent="0.2">
      <c r="C21" s="73">
        <v>2014</v>
      </c>
      <c r="D21" s="73">
        <v>2015</v>
      </c>
      <c r="E21" s="73">
        <v>2016</v>
      </c>
      <c r="F21" s="73">
        <v>2014</v>
      </c>
      <c r="G21" s="73">
        <v>2015</v>
      </c>
      <c r="H21" s="73">
        <v>2016</v>
      </c>
    </row>
    <row r="22" spans="1:8" x14ac:dyDescent="0.2">
      <c r="A22" s="158" t="s">
        <v>6</v>
      </c>
      <c r="C22" s="61"/>
      <c r="D22" s="61"/>
      <c r="E22" s="61"/>
      <c r="F22" s="61"/>
      <c r="G22" s="61"/>
      <c r="H22" s="61"/>
    </row>
    <row r="23" spans="1:8" x14ac:dyDescent="0.2">
      <c r="A23" t="s">
        <v>7</v>
      </c>
      <c r="C23" s="159" t="s">
        <v>8</v>
      </c>
      <c r="D23" s="160">
        <v>0.22999999999999998</v>
      </c>
      <c r="E23" s="160">
        <v>0.193</v>
      </c>
      <c r="F23" s="159" t="s">
        <v>8</v>
      </c>
      <c r="G23" s="160">
        <v>0.21100000000000008</v>
      </c>
      <c r="H23" s="160">
        <v>0.1419999999999999</v>
      </c>
    </row>
    <row r="24" spans="1:8" x14ac:dyDescent="0.2">
      <c r="A24" t="s">
        <v>9</v>
      </c>
      <c r="C24" s="159" t="s">
        <v>8</v>
      </c>
      <c r="D24" s="160">
        <v>8.9736842105263559E-2</v>
      </c>
      <c r="E24" s="160">
        <v>0.24024752475247402</v>
      </c>
      <c r="F24" s="159" t="s">
        <v>8</v>
      </c>
      <c r="G24" s="160">
        <v>0.42977054375021106</v>
      </c>
      <c r="H24" s="160">
        <v>6.2589403973510205E-2</v>
      </c>
    </row>
    <row r="25" spans="1:8" x14ac:dyDescent="0.2">
      <c r="A25" t="s">
        <v>10</v>
      </c>
      <c r="C25" s="159" t="s">
        <v>8</v>
      </c>
      <c r="D25" s="160">
        <v>6.6603256643728459E-2</v>
      </c>
      <c r="E25" s="160">
        <v>0.32466900088486139</v>
      </c>
      <c r="F25" s="159" t="s">
        <v>8</v>
      </c>
      <c r="G25" s="160">
        <v>0.47980974554587674</v>
      </c>
      <c r="H25" s="160">
        <v>7.2515127947926361E-2</v>
      </c>
    </row>
    <row r="26" spans="1:8" x14ac:dyDescent="0.2">
      <c r="A26" t="s">
        <v>11</v>
      </c>
      <c r="C26" s="159" t="s">
        <v>8</v>
      </c>
      <c r="D26" s="160">
        <v>0.15912123631849018</v>
      </c>
      <c r="E26" s="160">
        <v>0.139573058733337</v>
      </c>
      <c r="F26" s="159" t="s">
        <v>8</v>
      </c>
      <c r="G26" s="160">
        <v>0.19608664338360504</v>
      </c>
      <c r="H26" s="160">
        <v>0.18632011461373432</v>
      </c>
    </row>
    <row r="27" spans="1:8" x14ac:dyDescent="0.2">
      <c r="A27" t="s">
        <v>12</v>
      </c>
      <c r="B27" t="s">
        <v>13</v>
      </c>
      <c r="C27" s="160">
        <v>3.3084232642862275E-2</v>
      </c>
      <c r="D27" s="160">
        <v>3.0363356647588331E-2</v>
      </c>
      <c r="E27" s="160">
        <v>3.5470076790951988E-2</v>
      </c>
      <c r="F27" s="160">
        <v>0.1534756038597688</v>
      </c>
      <c r="G27" s="160">
        <v>0.19705544848534387</v>
      </c>
      <c r="H27" s="160">
        <v>0.17484645100669186</v>
      </c>
    </row>
    <row r="28" spans="1:8" x14ac:dyDescent="0.2">
      <c r="A28" t="s">
        <v>14</v>
      </c>
      <c r="B28" t="s">
        <v>15</v>
      </c>
      <c r="C28" s="160">
        <v>0.3517190997747639</v>
      </c>
      <c r="D28" s="160">
        <v>0.27753157982754983</v>
      </c>
      <c r="E28" s="160">
        <v>0.28777173603315842</v>
      </c>
      <c r="F28" s="160">
        <v>0.28643583785580956</v>
      </c>
      <c r="G28" s="160">
        <v>0.32949217664762803</v>
      </c>
      <c r="H28" s="160">
        <v>0.26580475628382255</v>
      </c>
    </row>
    <row r="29" spans="1:8" x14ac:dyDescent="0.2">
      <c r="A29" s="158" t="s">
        <v>16</v>
      </c>
      <c r="C29" s="61"/>
      <c r="D29" s="61"/>
      <c r="E29" s="61"/>
      <c r="F29" s="61"/>
      <c r="G29" s="61"/>
      <c r="H29" s="61"/>
    </row>
    <row r="30" spans="1:8" x14ac:dyDescent="0.2">
      <c r="A30" t="s">
        <v>17</v>
      </c>
      <c r="B30" t="s">
        <v>18</v>
      </c>
      <c r="C30" s="161">
        <v>0.79746215615882887</v>
      </c>
      <c r="D30" s="161">
        <v>0.78283904318834208</v>
      </c>
      <c r="E30" s="161">
        <v>0.79163365712804679</v>
      </c>
      <c r="F30" s="161">
        <v>2.0495532370166498</v>
      </c>
      <c r="G30" s="161">
        <v>2.3838861593552858</v>
      </c>
      <c r="H30" s="161">
        <v>2.6165694985329457</v>
      </c>
    </row>
    <row r="31" spans="1:8" x14ac:dyDescent="0.2">
      <c r="A31" t="s">
        <v>19</v>
      </c>
      <c r="B31" t="s">
        <v>20</v>
      </c>
      <c r="C31" s="161">
        <v>0.44251681201192261</v>
      </c>
      <c r="D31" s="161">
        <v>0.42239963339626491</v>
      </c>
      <c r="E31" s="161">
        <v>0.43631261894490037</v>
      </c>
      <c r="F31" s="161">
        <v>1.5605255637357172</v>
      </c>
      <c r="G31" s="161">
        <v>1.6593063231855305</v>
      </c>
      <c r="H31" s="161">
        <v>1.7986223983342731</v>
      </c>
    </row>
    <row r="32" spans="1:8" x14ac:dyDescent="0.2">
      <c r="A32" t="s">
        <v>21</v>
      </c>
      <c r="B32" t="s">
        <v>22</v>
      </c>
      <c r="C32" s="161">
        <v>5.9337179126058001E-2</v>
      </c>
      <c r="D32" s="161">
        <v>4.3201295213522117E-2</v>
      </c>
      <c r="E32" s="161">
        <v>4.4374527208529017E-2</v>
      </c>
      <c r="F32" s="161">
        <v>0.6626443768691358</v>
      </c>
      <c r="G32" s="161">
        <v>0.61337601500890071</v>
      </c>
      <c r="H32" s="161">
        <v>0.61230039327585539</v>
      </c>
    </row>
    <row r="33" spans="1:9" x14ac:dyDescent="0.2">
      <c r="A33" s="158" t="s">
        <v>23</v>
      </c>
      <c r="C33" s="230" t="s">
        <v>4</v>
      </c>
      <c r="D33" s="230"/>
      <c r="E33" s="230"/>
      <c r="F33" s="230" t="s">
        <v>5</v>
      </c>
      <c r="G33" s="230"/>
      <c r="H33" s="230"/>
    </row>
    <row r="34" spans="1:9" x14ac:dyDescent="0.2">
      <c r="A34" t="s">
        <v>24</v>
      </c>
      <c r="B34" t="s">
        <v>25</v>
      </c>
      <c r="C34" s="162">
        <v>7.1250129870129868</v>
      </c>
      <c r="D34" s="162">
        <v>6.3719315924382789</v>
      </c>
      <c r="E34" s="162">
        <v>5.5235589622145094</v>
      </c>
      <c r="F34" s="162">
        <v>0.67344268769864635</v>
      </c>
      <c r="G34" s="162">
        <v>0.50552259801694133</v>
      </c>
      <c r="H34" s="162">
        <v>0.4109840809114324</v>
      </c>
    </row>
    <row r="35" spans="1:9" x14ac:dyDescent="0.2">
      <c r="A35" t="s">
        <v>26</v>
      </c>
      <c r="B35" t="s">
        <v>27</v>
      </c>
      <c r="C35" s="162">
        <v>5.48222269533745</v>
      </c>
      <c r="D35" s="162">
        <v>4.8828728536426542</v>
      </c>
      <c r="E35" s="162">
        <v>4.1476007109344284</v>
      </c>
      <c r="F35" s="162">
        <v>0.40094173042966452</v>
      </c>
      <c r="G35" s="162">
        <v>0.30157509571861973</v>
      </c>
      <c r="H35" s="162">
        <v>0.21726289336707688</v>
      </c>
      <c r="I35" t="s">
        <v>28</v>
      </c>
    </row>
    <row r="36" spans="1:9" x14ac:dyDescent="0.2">
      <c r="A36" t="s">
        <v>29</v>
      </c>
      <c r="B36" t="s">
        <v>30</v>
      </c>
      <c r="C36" s="162">
        <v>5.1845111773472423</v>
      </c>
      <c r="D36" s="162">
        <v>4.6734729186192308</v>
      </c>
      <c r="E36" s="162">
        <v>3.9507325757872045</v>
      </c>
      <c r="F36" s="163">
        <v>-4.5311279717481008E-2</v>
      </c>
      <c r="G36" s="163">
        <v>-8.5003409499581611E-3</v>
      </c>
      <c r="H36" s="163">
        <v>-3.4382821005109199E-2</v>
      </c>
    </row>
    <row r="37" spans="1:9" x14ac:dyDescent="0.2">
      <c r="A37" t="s">
        <v>31</v>
      </c>
      <c r="B37" t="s">
        <v>32</v>
      </c>
      <c r="C37" s="162">
        <v>8.1250149670002134</v>
      </c>
      <c r="D37" s="162">
        <v>7.3719331422921197</v>
      </c>
      <c r="E37" s="162">
        <v>6.5235601657304718</v>
      </c>
      <c r="F37" s="162">
        <v>1.673432837998823</v>
      </c>
      <c r="G37" s="162">
        <v>1.505515189398827</v>
      </c>
      <c r="H37" s="162">
        <v>1.410978228019762</v>
      </c>
    </row>
    <row r="38" spans="1:9" x14ac:dyDescent="0.2">
      <c r="A38" t="s">
        <v>33</v>
      </c>
      <c r="B38" t="s">
        <v>34</v>
      </c>
      <c r="C38" s="164">
        <v>2.5193978181818197</v>
      </c>
      <c r="D38" s="162">
        <v>2.4160535872903819</v>
      </c>
      <c r="E38" s="162">
        <v>2.6485293168904747</v>
      </c>
      <c r="F38" s="162">
        <v>16.533950525810084</v>
      </c>
      <c r="G38" s="162">
        <v>23.987291374921263</v>
      </c>
      <c r="H38" s="162">
        <v>25.654217750149929</v>
      </c>
    </row>
    <row r="39" spans="1:9" x14ac:dyDescent="0.2">
      <c r="A39" t="s">
        <v>35</v>
      </c>
      <c r="B39" t="s">
        <v>36</v>
      </c>
      <c r="C39" s="164">
        <v>2.9188145454545471</v>
      </c>
      <c r="D39" s="164">
        <v>2.7792871562224204</v>
      </c>
      <c r="E39" s="164">
        <v>3.0293635977505424</v>
      </c>
      <c r="F39" s="162">
        <v>24.126954952223365</v>
      </c>
      <c r="G39" s="162">
        <v>34.496009501077246</v>
      </c>
      <c r="H39" s="162">
        <v>36.655094175214217</v>
      </c>
    </row>
    <row r="40" spans="1:9" x14ac:dyDescent="0.2">
      <c r="A40" t="s">
        <v>37</v>
      </c>
      <c r="B40" t="s">
        <v>38</v>
      </c>
      <c r="C40" s="162">
        <v>1.1299806060606061</v>
      </c>
      <c r="D40" s="162">
        <v>0.88721489496910944</v>
      </c>
      <c r="E40" s="162">
        <v>0.94400916601613183</v>
      </c>
      <c r="F40" s="162">
        <v>20.236584216089263</v>
      </c>
      <c r="G40" s="162">
        <v>18.694299669280944</v>
      </c>
      <c r="H40" s="162">
        <v>19.204283032222815</v>
      </c>
    </row>
    <row r="41" spans="1:9" x14ac:dyDescent="0.2">
      <c r="A41" s="158" t="s">
        <v>39</v>
      </c>
      <c r="C41" s="230" t="s">
        <v>4</v>
      </c>
      <c r="D41" s="230"/>
      <c r="E41" s="230"/>
      <c r="F41" s="230" t="s">
        <v>5</v>
      </c>
      <c r="G41" s="230"/>
      <c r="H41" s="230"/>
    </row>
    <row r="42" spans="1:9" x14ac:dyDescent="0.2">
      <c r="A42" t="s">
        <v>40</v>
      </c>
      <c r="B42" t="s">
        <v>41</v>
      </c>
      <c r="C42" s="162">
        <v>1.6060606060606057</v>
      </c>
      <c r="D42" s="162">
        <v>1.6022304832713754</v>
      </c>
      <c r="E42" s="162">
        <v>1.6564885496183204</v>
      </c>
      <c r="F42" s="162">
        <v>5.4507956152811206</v>
      </c>
      <c r="G42" s="162">
        <v>4.3793103448275863</v>
      </c>
      <c r="H42" s="162">
        <v>4.3389830508474576</v>
      </c>
    </row>
    <row r="43" spans="1:9" x14ac:dyDescent="0.2">
      <c r="A43" t="s">
        <v>42</v>
      </c>
      <c r="B43" t="s">
        <v>43</v>
      </c>
      <c r="C43" s="165">
        <v>227.26415094339626</v>
      </c>
      <c r="D43" s="165">
        <v>227.80742459396754</v>
      </c>
      <c r="E43" s="165">
        <v>220.345622119816</v>
      </c>
      <c r="F43" s="162">
        <v>66.96270155071214</v>
      </c>
      <c r="G43" s="162">
        <v>83.346456692913378</v>
      </c>
      <c r="H43" s="162">
        <v>84.12109375</v>
      </c>
    </row>
    <row r="44" spans="1:9" x14ac:dyDescent="0.2">
      <c r="A44" t="s">
        <v>44</v>
      </c>
      <c r="B44" t="s">
        <v>45</v>
      </c>
      <c r="C44" s="162">
        <v>4.0816326530612246</v>
      </c>
      <c r="D44" s="162">
        <v>4.1152263374485596</v>
      </c>
      <c r="E44" s="162">
        <v>4.0160642570281126</v>
      </c>
      <c r="F44" s="162">
        <v>6.0606060606060597</v>
      </c>
      <c r="G44" s="162">
        <v>6.0240963855421681</v>
      </c>
      <c r="H44" s="162">
        <v>5.9880239520958085</v>
      </c>
    </row>
    <row r="45" spans="1:9" x14ac:dyDescent="0.2">
      <c r="A45" t="s">
        <v>46</v>
      </c>
      <c r="B45" t="s">
        <v>47</v>
      </c>
      <c r="C45" s="165">
        <v>89.424999999999997</v>
      </c>
      <c r="D45" s="165">
        <v>88.695000000000007</v>
      </c>
      <c r="E45" s="165">
        <v>90.884999999999991</v>
      </c>
      <c r="F45" s="162">
        <v>60.225000000000009</v>
      </c>
      <c r="G45" s="162">
        <v>60.59</v>
      </c>
      <c r="H45" s="162">
        <v>60.954999999999998</v>
      </c>
    </row>
    <row r="46" spans="1:9" x14ac:dyDescent="0.2">
      <c r="A46" t="s">
        <v>48</v>
      </c>
      <c r="B46" t="s">
        <v>49</v>
      </c>
      <c r="C46" s="163">
        <v>0.83023708447180267</v>
      </c>
      <c r="D46" s="163">
        <v>0.88100500784865754</v>
      </c>
      <c r="E46" s="163">
        <v>0.92230942659499504</v>
      </c>
      <c r="F46" s="162">
        <v>2.0715822694721333</v>
      </c>
      <c r="G46" s="162">
        <v>2.0974117069261315</v>
      </c>
      <c r="H46" s="162">
        <v>2.0190538285608799</v>
      </c>
    </row>
    <row r="47" spans="1:9" x14ac:dyDescent="0.2">
      <c r="A47" s="158" t="s">
        <v>50</v>
      </c>
      <c r="C47" s="230" t="s">
        <v>4</v>
      </c>
      <c r="D47" s="230"/>
      <c r="E47" s="230"/>
      <c r="F47" s="230" t="s">
        <v>5</v>
      </c>
      <c r="G47" s="230"/>
      <c r="H47" s="230"/>
    </row>
    <row r="48" spans="1:9" x14ac:dyDescent="0.2">
      <c r="A48" s="157" t="s">
        <v>51</v>
      </c>
      <c r="B48" t="s">
        <v>52</v>
      </c>
      <c r="C48" s="166">
        <v>3.8572981110637693E-2</v>
      </c>
      <c r="D48" s="166">
        <v>3.3448835179726168E-2</v>
      </c>
      <c r="E48" s="166">
        <v>3.714051557274959E-2</v>
      </c>
      <c r="F48" s="166">
        <v>6.422864381078433E-2</v>
      </c>
      <c r="G48" s="166">
        <v>7.8485692035007021E-2</v>
      </c>
      <c r="H48" s="166">
        <v>7.3710238209288181E-2</v>
      </c>
    </row>
    <row r="49" spans="1:11" x14ac:dyDescent="0.2">
      <c r="A49" s="157" t="s">
        <v>53</v>
      </c>
      <c r="B49" t="s">
        <v>54</v>
      </c>
      <c r="C49" s="166">
        <v>0.11400000000000005</v>
      </c>
      <c r="D49" s="166">
        <v>0.10100000000000008</v>
      </c>
      <c r="E49" s="166">
        <v>0.10499999999999998</v>
      </c>
      <c r="F49" s="166">
        <v>0.1534744165482935</v>
      </c>
      <c r="G49" s="166">
        <v>0.1812</v>
      </c>
      <c r="H49" s="166">
        <v>0.16860000000000003</v>
      </c>
    </row>
    <row r="50" spans="1:11" x14ac:dyDescent="0.2">
      <c r="A50" s="157" t="s">
        <v>55</v>
      </c>
      <c r="B50" t="s">
        <v>56</v>
      </c>
      <c r="C50" s="166">
        <v>3.2024719376681755E-2</v>
      </c>
      <c r="D50" s="166">
        <v>2.9468591300043104E-2</v>
      </c>
      <c r="E50" s="166">
        <v>3.425504762134516E-2</v>
      </c>
      <c r="F50" s="166">
        <v>0.13305491971066191</v>
      </c>
      <c r="G50" s="166">
        <v>0.16461680930042275</v>
      </c>
      <c r="H50" s="166">
        <v>0.14882493866059773</v>
      </c>
    </row>
    <row r="51" spans="1:11" x14ac:dyDescent="0.2">
      <c r="A51" s="158" t="s">
        <v>57</v>
      </c>
      <c r="C51" s="230" t="s">
        <v>4</v>
      </c>
      <c r="D51" s="230"/>
      <c r="E51" s="230"/>
      <c r="F51" s="230" t="s">
        <v>5</v>
      </c>
      <c r="G51" s="230"/>
      <c r="H51" s="230"/>
      <c r="I51" t="s">
        <v>58</v>
      </c>
    </row>
    <row r="52" spans="1:11" x14ac:dyDescent="0.2">
      <c r="A52" s="157" t="s">
        <v>48</v>
      </c>
      <c r="B52" t="s">
        <v>49</v>
      </c>
      <c r="C52" s="162">
        <f t="shared" ref="C52:E52" si="0">C46</f>
        <v>0.83023708447180267</v>
      </c>
      <c r="D52" s="162">
        <f t="shared" si="0"/>
        <v>0.88100500784865754</v>
      </c>
      <c r="E52" s="162">
        <f t="shared" si="0"/>
        <v>0.92230942659499504</v>
      </c>
      <c r="F52" s="162">
        <f>F46</f>
        <v>2.0715822694721333</v>
      </c>
      <c r="G52" s="162">
        <f t="shared" ref="G52:H52" si="1">G46</f>
        <v>2.0974117069261315</v>
      </c>
      <c r="H52" s="162">
        <f t="shared" si="1"/>
        <v>2.0190538285608799</v>
      </c>
      <c r="I52" s="162">
        <v>0.59553858772417723</v>
      </c>
      <c r="J52" s="162">
        <v>0.65999855152184628</v>
      </c>
      <c r="K52" s="162">
        <v>0.64590608215193734</v>
      </c>
    </row>
    <row r="53" spans="1:11" x14ac:dyDescent="0.2">
      <c r="A53" t="s">
        <v>59</v>
      </c>
      <c r="B53" t="s">
        <v>52</v>
      </c>
      <c r="C53" s="166">
        <f t="shared" ref="C53:D53" si="2">C48</f>
        <v>3.8572981110637693E-2</v>
      </c>
      <c r="D53" s="166">
        <f t="shared" si="2"/>
        <v>3.3448835179726168E-2</v>
      </c>
      <c r="E53" s="166">
        <f>E48</f>
        <v>3.714051557274959E-2</v>
      </c>
      <c r="F53" s="166">
        <f>F48</f>
        <v>6.422864381078433E-2</v>
      </c>
      <c r="G53" s="166">
        <f>G48</f>
        <v>7.8485692035007021E-2</v>
      </c>
      <c r="H53" s="166">
        <f t="shared" ref="H53" si="3">H48</f>
        <v>7.3710238209288181E-2</v>
      </c>
      <c r="I53" s="166">
        <v>0.1849355859333357</v>
      </c>
      <c r="J53" s="166">
        <v>0.15621203886675755</v>
      </c>
      <c r="K53" s="166">
        <v>0.134974753030078</v>
      </c>
    </row>
    <row r="54" spans="1:11" x14ac:dyDescent="0.2">
      <c r="A54" s="157" t="s">
        <v>60</v>
      </c>
      <c r="B54" t="s">
        <v>32</v>
      </c>
      <c r="C54" s="162">
        <f t="shared" ref="C54:E54" si="4">C37</f>
        <v>8.1250149670002134</v>
      </c>
      <c r="D54" s="162">
        <f t="shared" si="4"/>
        <v>7.3719331422921197</v>
      </c>
      <c r="E54" s="162">
        <f t="shared" si="4"/>
        <v>6.5235601657304718</v>
      </c>
      <c r="F54" s="162">
        <f>F37</f>
        <v>1.673432837998823</v>
      </c>
      <c r="G54" s="162">
        <f t="shared" ref="G54:H54" si="5">G37</f>
        <v>1.505515189398827</v>
      </c>
      <c r="H54" s="162">
        <f t="shared" si="5"/>
        <v>1.410978228019762</v>
      </c>
      <c r="I54" s="162">
        <v>2.1209136497876999</v>
      </c>
      <c r="J54" s="162">
        <v>2.0968381528932643</v>
      </c>
      <c r="K54" s="162">
        <v>1.9734580616051065</v>
      </c>
    </row>
    <row r="55" spans="1:11" x14ac:dyDescent="0.2">
      <c r="A55" s="157" t="s">
        <v>61</v>
      </c>
      <c r="B55" t="s">
        <v>62</v>
      </c>
      <c r="C55" s="166">
        <f>C54*C53*C52</f>
        <v>0.26020132424952097</v>
      </c>
      <c r="D55" s="166">
        <f t="shared" ref="D55:E55" si="6">D54*D53*D52</f>
        <v>0.21724048486144898</v>
      </c>
      <c r="E55" s="166">
        <f t="shared" si="6"/>
        <v>0.22346486413780761</v>
      </c>
      <c r="F55" s="166">
        <f>F52*F53*F54</f>
        <v>0.22265847190111845</v>
      </c>
      <c r="G55" s="166">
        <f t="shared" ref="G55:H55" si="7">G52*G53*G54</f>
        <v>0.24783310683215659</v>
      </c>
      <c r="H55" s="166">
        <f t="shared" si="7"/>
        <v>0.20998874823648001</v>
      </c>
      <c r="I55" s="166">
        <v>0.23358953464007398</v>
      </c>
      <c r="J55" s="166">
        <v>0.21618342515346781</v>
      </c>
      <c r="K55" s="166">
        <v>0.1720480747375209</v>
      </c>
    </row>
    <row r="56" spans="1:11" x14ac:dyDescent="0.2">
      <c r="A56" s="158" t="s">
        <v>63</v>
      </c>
      <c r="C56" s="230" t="s">
        <v>4</v>
      </c>
      <c r="D56" s="230"/>
      <c r="E56" s="230"/>
      <c r="F56" s="230" t="s">
        <v>5</v>
      </c>
      <c r="G56" s="230"/>
      <c r="H56" s="230"/>
    </row>
    <row r="57" spans="1:11" x14ac:dyDescent="0.2">
      <c r="A57" t="s">
        <v>64</v>
      </c>
      <c r="C57" s="167">
        <v>722.40660000000037</v>
      </c>
      <c r="D57" s="167">
        <v>787.23308700000064</v>
      </c>
      <c r="E57" s="167">
        <v>976.36388755499991</v>
      </c>
      <c r="F57" s="167">
        <v>451.97024712000029</v>
      </c>
      <c r="G57" s="167">
        <v>646.21374598368004</v>
      </c>
      <c r="H57" s="167">
        <v>686.65987918428789</v>
      </c>
    </row>
    <row r="58" spans="1:11" x14ac:dyDescent="0.2">
      <c r="A58" t="s">
        <v>65</v>
      </c>
      <c r="B58" t="s">
        <v>66</v>
      </c>
      <c r="C58" s="168">
        <v>1</v>
      </c>
      <c r="D58" s="168">
        <v>1</v>
      </c>
      <c r="E58" s="168">
        <v>1</v>
      </c>
      <c r="F58" s="168">
        <v>1</v>
      </c>
      <c r="G58" s="168">
        <v>1</v>
      </c>
      <c r="H58" s="168">
        <v>1</v>
      </c>
    </row>
    <row r="59" spans="1:11" x14ac:dyDescent="0.2">
      <c r="A59" t="s">
        <v>67</v>
      </c>
      <c r="C59" s="168">
        <v>0.35</v>
      </c>
      <c r="D59" s="168">
        <v>0.35</v>
      </c>
      <c r="E59" s="168">
        <v>0.35</v>
      </c>
      <c r="F59" s="168">
        <v>0.35</v>
      </c>
      <c r="G59" s="168">
        <v>0.35</v>
      </c>
      <c r="H59" s="168">
        <v>0.35</v>
      </c>
    </row>
    <row r="60" spans="1:11" x14ac:dyDescent="0.2">
      <c r="A60" t="s">
        <v>68</v>
      </c>
      <c r="C60" s="167">
        <v>2313.8151000000007</v>
      </c>
      <c r="D60" s="167">
        <v>2815.6569420000005</v>
      </c>
      <c r="E60" s="167">
        <v>3335.6315574729988</v>
      </c>
      <c r="F60" s="167">
        <v>534.19026080000015</v>
      </c>
      <c r="G60" s="167">
        <v>775.35784530960018</v>
      </c>
      <c r="H60" s="167">
        <v>883.7793225562898</v>
      </c>
      <c r="I60" t="s">
        <v>69</v>
      </c>
    </row>
    <row r="61" spans="1:11" x14ac:dyDescent="0.2">
      <c r="A61" s="157" t="s">
        <v>70</v>
      </c>
      <c r="C61" s="167">
        <v>5150</v>
      </c>
      <c r="D61" s="167">
        <v>5860</v>
      </c>
      <c r="E61" s="167">
        <v>6410</v>
      </c>
      <c r="F61" s="167">
        <v>340.6</v>
      </c>
      <c r="G61" s="167">
        <v>340.6</v>
      </c>
      <c r="H61" s="167">
        <v>310.60000000000002</v>
      </c>
    </row>
    <row r="62" spans="1:11" x14ac:dyDescent="0.2">
      <c r="A62" s="158" t="s">
        <v>71</v>
      </c>
      <c r="C62" s="230" t="s">
        <v>4</v>
      </c>
      <c r="D62" s="230"/>
      <c r="E62" s="230"/>
      <c r="F62" s="230" t="s">
        <v>5</v>
      </c>
      <c r="G62" s="230"/>
      <c r="H62" s="230"/>
    </row>
    <row r="63" spans="1:11" x14ac:dyDescent="0.2">
      <c r="A63" t="s">
        <v>72</v>
      </c>
      <c r="C63" s="169" t="s">
        <v>8</v>
      </c>
      <c r="D63" s="167">
        <v>684.34717860000069</v>
      </c>
      <c r="E63" s="167">
        <v>853.62099883379994</v>
      </c>
      <c r="F63" s="167" t="s">
        <v>8</v>
      </c>
      <c r="G63" s="167">
        <v>449.35392932640002</v>
      </c>
      <c r="H63" s="167">
        <v>480.58046111355861</v>
      </c>
    </row>
    <row r="64" spans="1:11" x14ac:dyDescent="0.2">
      <c r="A64" s="157" t="s">
        <v>73</v>
      </c>
      <c r="C64" s="169" t="s">
        <v>8</v>
      </c>
      <c r="D64" s="167">
        <v>-239.52151251000024</v>
      </c>
      <c r="E64" s="167">
        <v>-298.76734959182994</v>
      </c>
      <c r="F64" s="167" t="s">
        <v>8</v>
      </c>
      <c r="G64" s="167">
        <v>-157.27387526423999</v>
      </c>
      <c r="H64" s="167">
        <v>-168.2031613897455</v>
      </c>
    </row>
    <row r="65" spans="1:9" x14ac:dyDescent="0.2">
      <c r="A65" s="157" t="s">
        <v>74</v>
      </c>
      <c r="C65" s="169" t="s">
        <v>8</v>
      </c>
      <c r="D65" s="167">
        <v>102.88590839999999</v>
      </c>
      <c r="E65" s="167">
        <v>122.74288872119999</v>
      </c>
      <c r="F65" s="170" t="s">
        <v>8</v>
      </c>
      <c r="G65" s="167">
        <v>196.85981665728002</v>
      </c>
      <c r="H65" s="167">
        <v>206.07941807072928</v>
      </c>
    </row>
    <row r="66" spans="1:9" x14ac:dyDescent="0.2">
      <c r="A66" s="157" t="s">
        <v>75</v>
      </c>
      <c r="C66" s="169" t="s">
        <v>8</v>
      </c>
      <c r="D66" s="167">
        <v>-522.22392900000011</v>
      </c>
      <c r="E66" s="167">
        <v>-483.532591932</v>
      </c>
      <c r="F66" s="167" t="s">
        <v>8</v>
      </c>
      <c r="G66" s="167">
        <v>-287.08723262520004</v>
      </c>
      <c r="H66" s="167">
        <v>-346.58811220986286</v>
      </c>
      <c r="I66" t="s">
        <v>76</v>
      </c>
    </row>
    <row r="67" spans="1:9" x14ac:dyDescent="0.2">
      <c r="A67" s="157" t="s">
        <v>77</v>
      </c>
      <c r="C67" s="169" t="s">
        <v>8</v>
      </c>
      <c r="D67" s="167">
        <v>-501.84184199999982</v>
      </c>
      <c r="E67" s="167">
        <v>-519.97461547299827</v>
      </c>
      <c r="F67" s="171" t="s">
        <v>8</v>
      </c>
      <c r="G67" s="172">
        <v>-241.16758450960003</v>
      </c>
      <c r="H67" s="172">
        <v>-108.42147724668962</v>
      </c>
    </row>
    <row r="68" spans="1:9" x14ac:dyDescent="0.2">
      <c r="A68" s="158" t="s">
        <v>78</v>
      </c>
      <c r="B68" s="158"/>
      <c r="C68" s="169" t="s">
        <v>8</v>
      </c>
      <c r="D68" s="167">
        <v>-476.3541965099995</v>
      </c>
      <c r="E68" s="167">
        <v>-325.91066944182825</v>
      </c>
      <c r="F68" s="171" t="s">
        <v>8</v>
      </c>
      <c r="G68" s="172">
        <v>-39.314946415360055</v>
      </c>
      <c r="H68" s="172">
        <v>63.447128337989852</v>
      </c>
    </row>
    <row r="69" spans="1:9" x14ac:dyDescent="0.2">
      <c r="A69" s="158" t="s">
        <v>79</v>
      </c>
      <c r="C69" s="230" t="s">
        <v>4</v>
      </c>
      <c r="D69" s="230"/>
      <c r="E69" s="230"/>
      <c r="F69" s="230" t="s">
        <v>5</v>
      </c>
      <c r="G69" s="230"/>
      <c r="H69" s="230"/>
    </row>
    <row r="70" spans="1:9" x14ac:dyDescent="0.2">
      <c r="A70" t="s">
        <v>80</v>
      </c>
      <c r="C70" s="169" t="s">
        <v>8</v>
      </c>
      <c r="D70" s="167">
        <v>260.7131660900003</v>
      </c>
      <c r="E70" s="167">
        <v>345.3586492419696</v>
      </c>
      <c r="F70" s="167" t="s">
        <v>8</v>
      </c>
      <c r="G70" s="167">
        <v>279.9036040621599</v>
      </c>
      <c r="H70" s="167">
        <v>300.20084972381312</v>
      </c>
    </row>
    <row r="71" spans="1:9" x14ac:dyDescent="0.2">
      <c r="A71" s="157" t="s">
        <v>74</v>
      </c>
      <c r="C71" s="169" t="s">
        <v>8</v>
      </c>
      <c r="D71" s="167">
        <v>102.88590839999999</v>
      </c>
      <c r="E71" s="167">
        <v>122.74288872119999</v>
      </c>
      <c r="F71" s="167" t="s">
        <v>8</v>
      </c>
      <c r="G71" s="167">
        <v>196.85981665728002</v>
      </c>
      <c r="H71" s="167">
        <v>206.07941807072928</v>
      </c>
    </row>
    <row r="72" spans="1:9" x14ac:dyDescent="0.2">
      <c r="A72" s="157" t="s">
        <v>81</v>
      </c>
      <c r="C72" s="169" t="s">
        <v>8</v>
      </c>
      <c r="D72" s="167">
        <v>-522.22392900000011</v>
      </c>
      <c r="E72" s="167">
        <v>-483.532591932</v>
      </c>
      <c r="F72" s="167" t="s">
        <v>8</v>
      </c>
      <c r="G72" s="167">
        <v>-287.08723262519999</v>
      </c>
      <c r="H72" s="167">
        <v>-346.58811220986286</v>
      </c>
    </row>
    <row r="73" spans="1:9" x14ac:dyDescent="0.2">
      <c r="A73" s="157" t="s">
        <v>77</v>
      </c>
      <c r="C73" s="169" t="s">
        <v>8</v>
      </c>
      <c r="D73" s="167">
        <v>-501.84184199999982</v>
      </c>
      <c r="E73" s="167">
        <v>-519.97461547299827</v>
      </c>
      <c r="F73" s="167" t="s">
        <v>8</v>
      </c>
      <c r="G73" s="172">
        <v>-241.16758450960003</v>
      </c>
      <c r="H73" s="172">
        <v>-108.42147724668962</v>
      </c>
    </row>
    <row r="74" spans="1:9" x14ac:dyDescent="0.2">
      <c r="A74" s="157" t="s">
        <v>82</v>
      </c>
      <c r="C74" s="169" t="s">
        <v>8</v>
      </c>
      <c r="D74" s="167">
        <v>710</v>
      </c>
      <c r="E74" s="167">
        <v>550</v>
      </c>
      <c r="F74" s="167" t="s">
        <v>8</v>
      </c>
      <c r="G74" s="172">
        <v>0</v>
      </c>
      <c r="H74" s="172">
        <v>-30</v>
      </c>
    </row>
    <row r="75" spans="1:9" x14ac:dyDescent="0.2">
      <c r="A75" s="173" t="s">
        <v>83</v>
      </c>
      <c r="B75" s="158"/>
      <c r="C75" s="169" t="s">
        <v>8</v>
      </c>
      <c r="D75" s="167">
        <v>49.533303490000435</v>
      </c>
      <c r="E75" s="167">
        <v>14.59433055817135</v>
      </c>
      <c r="F75" s="167" t="s">
        <v>8</v>
      </c>
      <c r="G75" s="172">
        <v>-51.491396415360157</v>
      </c>
      <c r="H75" s="172">
        <v>21.270678337989921</v>
      </c>
    </row>
    <row r="76" spans="1:9" x14ac:dyDescent="0.2">
      <c r="C76" s="174"/>
      <c r="D76" s="64"/>
      <c r="E76" s="64"/>
      <c r="F76" s="174"/>
      <c r="G76" s="64"/>
      <c r="H76" s="64"/>
    </row>
    <row r="77" spans="1:9" x14ac:dyDescent="0.2">
      <c r="A77" t="s">
        <v>84</v>
      </c>
      <c r="C77" s="230" t="s">
        <v>4</v>
      </c>
      <c r="D77" s="230"/>
      <c r="E77" s="230"/>
      <c r="F77" s="230" t="s">
        <v>5</v>
      </c>
      <c r="G77" s="230"/>
      <c r="H77" s="230"/>
    </row>
    <row r="78" spans="1:9" x14ac:dyDescent="0.2">
      <c r="A78" t="s">
        <v>85</v>
      </c>
      <c r="C78" s="175">
        <v>1</v>
      </c>
      <c r="D78" s="175">
        <v>1</v>
      </c>
      <c r="E78" s="175">
        <v>1</v>
      </c>
      <c r="F78" s="175">
        <v>1</v>
      </c>
      <c r="G78" s="175">
        <v>1</v>
      </c>
      <c r="H78" s="175">
        <v>1</v>
      </c>
    </row>
    <row r="79" spans="1:9" x14ac:dyDescent="0.2">
      <c r="A79" t="s">
        <v>86</v>
      </c>
      <c r="B79" s="115"/>
      <c r="C79" s="175">
        <v>0.42399999999999999</v>
      </c>
      <c r="D79" s="175">
        <v>0.43099999999999999</v>
      </c>
      <c r="E79" s="175">
        <v>0.434</v>
      </c>
      <c r="F79" s="175">
        <v>0.51782558345170648</v>
      </c>
      <c r="G79" s="175">
        <v>0.50800000000000001</v>
      </c>
      <c r="H79" s="175">
        <v>0.51200000000000001</v>
      </c>
      <c r="I79" s="115"/>
    </row>
    <row r="80" spans="1:9" x14ac:dyDescent="0.2">
      <c r="A80" t="s">
        <v>87</v>
      </c>
      <c r="C80" s="175">
        <v>0.35199999999999998</v>
      </c>
      <c r="D80" s="175">
        <v>0.35799999999999998</v>
      </c>
      <c r="E80" s="175">
        <v>0.35099999999999998</v>
      </c>
      <c r="F80" s="175">
        <v>0.2767</v>
      </c>
      <c r="G80" s="175">
        <v>0.26079999999999998</v>
      </c>
      <c r="H80" s="175">
        <v>0.26539999999999997</v>
      </c>
    </row>
    <row r="81" spans="1:8" x14ac:dyDescent="0.2">
      <c r="A81" t="s">
        <v>88</v>
      </c>
      <c r="C81" s="175">
        <v>1.5599999999999999E-2</v>
      </c>
      <c r="D81" s="175">
        <v>1.3199999999999998E-2</v>
      </c>
      <c r="E81" s="175">
        <v>1.3199999999999998E-2</v>
      </c>
      <c r="F81" s="175">
        <v>4.8299999999999996E-2</v>
      </c>
      <c r="G81" s="175">
        <v>5.5199999999999992E-2</v>
      </c>
      <c r="H81" s="175">
        <v>5.0599999999999992E-2</v>
      </c>
    </row>
    <row r="82" spans="1:8" x14ac:dyDescent="0.2">
      <c r="A82" t="s">
        <v>89</v>
      </c>
      <c r="C82" s="175">
        <v>0.11</v>
      </c>
      <c r="D82" s="175">
        <v>0.11</v>
      </c>
      <c r="E82" s="175">
        <v>0.11</v>
      </c>
      <c r="F82" s="175">
        <v>5.1999999999999998E-2</v>
      </c>
      <c r="G82" s="175">
        <v>5.000000000000001E-2</v>
      </c>
      <c r="H82" s="175">
        <v>5.3999999999999999E-2</v>
      </c>
    </row>
    <row r="83" spans="1:8" x14ac:dyDescent="0.2">
      <c r="A83" t="s">
        <v>90</v>
      </c>
      <c r="C83" s="175">
        <v>3.905695213748047E-2</v>
      </c>
      <c r="D83" s="175">
        <v>3.6340253569652106E-2</v>
      </c>
      <c r="E83" s="175">
        <v>3.4660745272692868E-2</v>
      </c>
      <c r="F83" s="175">
        <v>6.3611183778560674E-3</v>
      </c>
      <c r="G83" s="175">
        <v>5.2527814846045143E-3</v>
      </c>
      <c r="H83" s="175">
        <v>4.5996335241720795E-3</v>
      </c>
    </row>
    <row r="84" spans="1:8" x14ac:dyDescent="0.2">
      <c r="A84" t="s">
        <v>91</v>
      </c>
      <c r="C84" s="175">
        <v>2.0770066751881835E-2</v>
      </c>
      <c r="D84" s="175">
        <v>1.8010911250621781E-2</v>
      </c>
      <c r="E84" s="175">
        <v>1.9998739154557472E-2</v>
      </c>
      <c r="F84" s="175">
        <v>3.4584654359653098E-2</v>
      </c>
      <c r="G84" s="175">
        <v>4.2261526480388396E-2</v>
      </c>
      <c r="H84" s="175">
        <v>3.9690128266539781E-2</v>
      </c>
    </row>
    <row r="85" spans="1:8" x14ac:dyDescent="0.2">
      <c r="A85" t="s">
        <v>80</v>
      </c>
      <c r="C85" s="175">
        <v>3.8572981110637693E-2</v>
      </c>
      <c r="D85" s="175">
        <v>3.3448835179726168E-2</v>
      </c>
      <c r="E85" s="175">
        <v>3.714051557274959E-2</v>
      </c>
      <c r="F85" s="175">
        <v>6.422864381078433E-2</v>
      </c>
      <c r="G85" s="175">
        <v>7.8485692035007021E-2</v>
      </c>
      <c r="H85" s="175">
        <v>7.3710238209288181E-2</v>
      </c>
    </row>
  </sheetData>
  <mergeCells count="18">
    <mergeCell ref="C62:E62"/>
    <mergeCell ref="F62:H62"/>
    <mergeCell ref="C69:E69"/>
    <mergeCell ref="F69:H69"/>
    <mergeCell ref="C77:E77"/>
    <mergeCell ref="F77:H77"/>
    <mergeCell ref="C47:E47"/>
    <mergeCell ref="F47:H47"/>
    <mergeCell ref="C51:E51"/>
    <mergeCell ref="F51:H51"/>
    <mergeCell ref="C56:E56"/>
    <mergeCell ref="F56:H56"/>
    <mergeCell ref="C20:E20"/>
    <mergeCell ref="F20:H20"/>
    <mergeCell ref="C33:E33"/>
    <mergeCell ref="F33:H33"/>
    <mergeCell ref="C41:E41"/>
    <mergeCell ref="F41:H41"/>
  </mergeCells>
  <pageMargins left="0.25" right="0.25" top="0.75" bottom="0.75" header="0.3" footer="0.3"/>
  <pageSetup scale="81" orientation="portrait"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7BE66-F6BE-4CA6-8319-5D77FF53666E}">
  <sheetPr>
    <pageSetUpPr fitToPage="1"/>
  </sheetPr>
  <dimension ref="A9:H43"/>
  <sheetViews>
    <sheetView tabSelected="1" zoomScale="175" zoomScaleNormal="175" workbookViewId="0">
      <selection activeCell="I58" sqref="I58"/>
    </sheetView>
  </sheetViews>
  <sheetFormatPr baseColWidth="10" defaultColWidth="8.83203125" defaultRowHeight="16" x14ac:dyDescent="0.2"/>
  <cols>
    <col min="1" max="1" width="21.83203125" customWidth="1"/>
    <col min="2" max="6" width="10" customWidth="1"/>
    <col min="7" max="7" width="11.6640625" customWidth="1"/>
    <col min="8" max="9" width="10" customWidth="1"/>
  </cols>
  <sheetData>
    <row r="9" spans="1:8" x14ac:dyDescent="0.2">
      <c r="A9" s="176" t="s">
        <v>67</v>
      </c>
      <c r="B9" s="178">
        <v>0.35</v>
      </c>
      <c r="C9" s="176"/>
      <c r="D9" s="231" t="s">
        <v>92</v>
      </c>
      <c r="E9" s="232"/>
      <c r="F9" s="181">
        <v>13040</v>
      </c>
      <c r="G9" s="176" t="s">
        <v>93</v>
      </c>
      <c r="H9" s="176"/>
    </row>
    <row r="10" spans="1:8" x14ac:dyDescent="0.2">
      <c r="A10" s="176" t="s">
        <v>94</v>
      </c>
      <c r="B10" s="182">
        <v>0.03</v>
      </c>
      <c r="C10" s="176" t="s">
        <v>95</v>
      </c>
      <c r="D10" s="231" t="s">
        <v>96</v>
      </c>
      <c r="E10" s="232"/>
      <c r="F10" s="185">
        <v>4.62</v>
      </c>
      <c r="G10" s="176" t="s">
        <v>93</v>
      </c>
      <c r="H10" s="176"/>
    </row>
    <row r="11" spans="1:8" x14ac:dyDescent="0.2">
      <c r="A11" s="176" t="s">
        <v>97</v>
      </c>
      <c r="B11" s="182">
        <v>8.5000000000000006E-2</v>
      </c>
      <c r="C11" s="176"/>
      <c r="D11" s="176"/>
      <c r="E11" s="176"/>
      <c r="F11" s="176"/>
      <c r="G11" s="176"/>
      <c r="H11" s="176"/>
    </row>
    <row r="12" spans="1:8" x14ac:dyDescent="0.2">
      <c r="A12" s="176" t="s">
        <v>98</v>
      </c>
      <c r="B12" s="176"/>
      <c r="C12" s="176"/>
      <c r="D12" s="176"/>
      <c r="E12" s="176"/>
      <c r="F12" s="176"/>
      <c r="G12" s="176"/>
      <c r="H12" s="176"/>
    </row>
    <row r="13" spans="1:8" x14ac:dyDescent="0.2">
      <c r="A13" s="179" t="s">
        <v>99</v>
      </c>
      <c r="B13" s="180">
        <v>2016</v>
      </c>
      <c r="C13" s="180">
        <v>2017</v>
      </c>
      <c r="D13" s="180">
        <v>2018</v>
      </c>
      <c r="E13" s="180">
        <v>2019</v>
      </c>
      <c r="F13" s="180">
        <v>2020</v>
      </c>
      <c r="G13" s="180">
        <v>2021</v>
      </c>
      <c r="H13" s="176"/>
    </row>
    <row r="14" spans="1:8" x14ac:dyDescent="0.2">
      <c r="A14" s="183" t="s">
        <v>99</v>
      </c>
      <c r="B14" s="184" t="s">
        <v>99</v>
      </c>
      <c r="C14" s="184">
        <v>1</v>
      </c>
      <c r="D14" s="184">
        <v>2</v>
      </c>
      <c r="E14" s="184">
        <v>3</v>
      </c>
      <c r="F14" s="184">
        <v>4</v>
      </c>
      <c r="G14" s="184">
        <v>5</v>
      </c>
      <c r="H14" s="176"/>
    </row>
    <row r="15" spans="1:8" x14ac:dyDescent="0.2">
      <c r="A15" s="183" t="s">
        <v>72</v>
      </c>
      <c r="B15" s="186" t="s">
        <v>100</v>
      </c>
      <c r="C15" s="187">
        <v>1231</v>
      </c>
      <c r="D15" s="187">
        <v>1428</v>
      </c>
      <c r="E15" s="187">
        <v>1525</v>
      </c>
      <c r="F15" s="187">
        <v>1599</v>
      </c>
      <c r="G15" s="187">
        <v>1694</v>
      </c>
      <c r="H15" s="176"/>
    </row>
    <row r="16" spans="1:8" x14ac:dyDescent="0.2">
      <c r="A16" s="183" t="s">
        <v>91</v>
      </c>
      <c r="B16" s="186" t="s">
        <v>100</v>
      </c>
      <c r="C16" s="187">
        <v>431</v>
      </c>
      <c r="D16" s="187">
        <v>500</v>
      </c>
      <c r="E16" s="187">
        <v>534</v>
      </c>
      <c r="F16" s="187">
        <v>560</v>
      </c>
      <c r="G16" s="187">
        <v>593</v>
      </c>
      <c r="H16" s="176" t="s">
        <v>101</v>
      </c>
    </row>
    <row r="17" spans="1:8" x14ac:dyDescent="0.2">
      <c r="A17" s="183" t="s">
        <v>102</v>
      </c>
      <c r="B17" s="186" t="s">
        <v>100</v>
      </c>
      <c r="C17" s="187">
        <v>800</v>
      </c>
      <c r="D17" s="187">
        <v>929</v>
      </c>
      <c r="E17" s="187">
        <v>992</v>
      </c>
      <c r="F17" s="187">
        <v>1039</v>
      </c>
      <c r="G17" s="187">
        <v>1101</v>
      </c>
      <c r="H17" s="176"/>
    </row>
    <row r="18" spans="1:8" x14ac:dyDescent="0.2">
      <c r="A18" s="188" t="s">
        <v>103</v>
      </c>
      <c r="B18" s="186" t="s">
        <v>100</v>
      </c>
      <c r="C18" s="187">
        <v>152</v>
      </c>
      <c r="D18" s="187">
        <v>177</v>
      </c>
      <c r="E18" s="187">
        <v>208</v>
      </c>
      <c r="F18" s="187">
        <v>239</v>
      </c>
      <c r="G18" s="187">
        <v>253</v>
      </c>
      <c r="H18" s="176"/>
    </row>
    <row r="19" spans="1:8" x14ac:dyDescent="0.2">
      <c r="A19" s="188" t="s">
        <v>104</v>
      </c>
      <c r="B19" s="186" t="s">
        <v>100</v>
      </c>
      <c r="C19" s="187">
        <v>-346</v>
      </c>
      <c r="D19" s="187">
        <v>-268</v>
      </c>
      <c r="E19" s="187">
        <v>-144</v>
      </c>
      <c r="F19" s="187">
        <v>-153</v>
      </c>
      <c r="G19" s="187">
        <v>-162</v>
      </c>
      <c r="H19" s="176"/>
    </row>
    <row r="20" spans="1:8" x14ac:dyDescent="0.2">
      <c r="A20" s="188" t="s">
        <v>105</v>
      </c>
      <c r="B20" s="186" t="s">
        <v>100</v>
      </c>
      <c r="C20" s="187">
        <v>-693</v>
      </c>
      <c r="D20" s="187">
        <v>-596</v>
      </c>
      <c r="E20" s="187">
        <v>-346</v>
      </c>
      <c r="F20" s="187">
        <v>-280</v>
      </c>
      <c r="G20" s="187">
        <v>-297</v>
      </c>
      <c r="H20" s="176"/>
    </row>
    <row r="21" spans="1:8" x14ac:dyDescent="0.2">
      <c r="A21" s="183" t="s">
        <v>106</v>
      </c>
      <c r="B21" s="186" t="s">
        <v>100</v>
      </c>
      <c r="C21" s="187">
        <v>-86</v>
      </c>
      <c r="D21" s="187">
        <v>242</v>
      </c>
      <c r="E21" s="187">
        <v>709</v>
      </c>
      <c r="F21" s="187">
        <v>845</v>
      </c>
      <c r="G21" s="187">
        <v>896</v>
      </c>
      <c r="H21" s="176"/>
    </row>
    <row r="22" spans="1:8" x14ac:dyDescent="0.2">
      <c r="A22" s="183" t="s">
        <v>107</v>
      </c>
      <c r="B22" s="186" t="s">
        <v>100</v>
      </c>
      <c r="C22" s="186" t="s">
        <v>100</v>
      </c>
      <c r="D22" s="186" t="s">
        <v>100</v>
      </c>
      <c r="E22" s="186" t="s">
        <v>100</v>
      </c>
      <c r="F22" s="186" t="s">
        <v>100</v>
      </c>
      <c r="G22" s="187">
        <v>16771</v>
      </c>
      <c r="H22" s="176" t="s">
        <v>108</v>
      </c>
    </row>
    <row r="23" spans="1:8" x14ac:dyDescent="0.2">
      <c r="A23" s="183" t="s">
        <v>109</v>
      </c>
      <c r="B23" s="186" t="s">
        <v>100</v>
      </c>
      <c r="C23" s="187">
        <v>-86</v>
      </c>
      <c r="D23" s="187">
        <v>242</v>
      </c>
      <c r="E23" s="187">
        <v>709</v>
      </c>
      <c r="F23" s="187">
        <v>845</v>
      </c>
      <c r="G23" s="187">
        <v>17667</v>
      </c>
      <c r="H23" s="176"/>
    </row>
    <row r="24" spans="1:8" x14ac:dyDescent="0.2">
      <c r="A24" s="176"/>
      <c r="B24" s="176"/>
      <c r="C24" s="176"/>
      <c r="D24" s="176"/>
      <c r="E24" s="176"/>
      <c r="F24" s="176"/>
      <c r="G24" s="176"/>
      <c r="H24" s="176"/>
    </row>
    <row r="25" spans="1:8" x14ac:dyDescent="0.2">
      <c r="A25" s="179" t="s">
        <v>110</v>
      </c>
      <c r="B25" s="189">
        <v>2315</v>
      </c>
      <c r="C25" s="189">
        <v>2825</v>
      </c>
      <c r="D25" s="189">
        <v>3277</v>
      </c>
      <c r="E25" s="189">
        <v>3539</v>
      </c>
      <c r="F25" s="189">
        <v>3751</v>
      </c>
      <c r="G25" s="189">
        <v>3977</v>
      </c>
      <c r="H25" s="176"/>
    </row>
    <row r="26" spans="1:8" x14ac:dyDescent="0.2">
      <c r="A26" s="183" t="s">
        <v>111</v>
      </c>
      <c r="B26" s="187">
        <v>2436</v>
      </c>
      <c r="C26" s="187">
        <v>2998</v>
      </c>
      <c r="D26" s="187">
        <v>3478</v>
      </c>
      <c r="E26" s="187">
        <v>3756</v>
      </c>
      <c r="F26" s="187">
        <v>3981</v>
      </c>
      <c r="G26" s="187">
        <v>4220</v>
      </c>
      <c r="H26" s="176"/>
    </row>
    <row r="27" spans="1:8" x14ac:dyDescent="0.2">
      <c r="A27" s="183" t="s">
        <v>112</v>
      </c>
      <c r="B27" s="187">
        <v>-1153</v>
      </c>
      <c r="C27" s="187">
        <v>-1384</v>
      </c>
      <c r="D27" s="187">
        <v>-1605</v>
      </c>
      <c r="E27" s="187">
        <v>-1733</v>
      </c>
      <c r="F27" s="187">
        <v>-1837</v>
      </c>
      <c r="G27" s="187">
        <v>-1948</v>
      </c>
      <c r="H27" s="176"/>
    </row>
    <row r="28" spans="1:8" x14ac:dyDescent="0.2">
      <c r="A28" s="183" t="s">
        <v>113</v>
      </c>
      <c r="B28" s="187">
        <v>-567</v>
      </c>
      <c r="C28" s="187">
        <v>-715</v>
      </c>
      <c r="D28" s="187">
        <v>-829</v>
      </c>
      <c r="E28" s="187">
        <v>-896</v>
      </c>
      <c r="F28" s="187">
        <v>-949</v>
      </c>
      <c r="G28" s="187">
        <v>-1006</v>
      </c>
      <c r="H28" s="176"/>
    </row>
    <row r="29" spans="1:8" x14ac:dyDescent="0.2">
      <c r="A29" s="183" t="s">
        <v>114</v>
      </c>
      <c r="B29" s="187">
        <v>3031</v>
      </c>
      <c r="C29" s="187">
        <v>3724</v>
      </c>
      <c r="D29" s="187">
        <v>4320</v>
      </c>
      <c r="E29" s="187">
        <v>4666</v>
      </c>
      <c r="F29" s="187">
        <v>4946</v>
      </c>
      <c r="G29" s="187">
        <v>5243</v>
      </c>
      <c r="H29" s="176"/>
    </row>
    <row r="30" spans="1:8" x14ac:dyDescent="0.2">
      <c r="A30" s="190" t="s">
        <v>99</v>
      </c>
      <c r="B30" s="176"/>
      <c r="C30" s="176"/>
      <c r="D30" s="176"/>
      <c r="E30" s="176"/>
      <c r="F30" s="176"/>
      <c r="G30" s="176"/>
      <c r="H30" s="176"/>
    </row>
    <row r="31" spans="1:8" x14ac:dyDescent="0.2">
      <c r="A31" s="179" t="s">
        <v>92</v>
      </c>
      <c r="B31" s="189">
        <v>13040</v>
      </c>
      <c r="C31" s="176"/>
      <c r="D31" s="176"/>
      <c r="E31" s="176"/>
      <c r="F31" s="176"/>
      <c r="G31" s="176"/>
      <c r="H31" s="176"/>
    </row>
    <row r="32" spans="1:8" x14ac:dyDescent="0.2">
      <c r="A32" s="183" t="s">
        <v>115</v>
      </c>
      <c r="B32" s="187">
        <v>6106</v>
      </c>
      <c r="C32" s="176"/>
      <c r="D32" s="176"/>
      <c r="E32" s="176"/>
      <c r="F32" s="176"/>
      <c r="G32" s="176"/>
      <c r="H32" s="176"/>
    </row>
    <row r="33" spans="1:8" x14ac:dyDescent="0.2">
      <c r="A33" s="183" t="s">
        <v>116</v>
      </c>
      <c r="B33" s="187">
        <v>6935</v>
      </c>
      <c r="C33" s="176"/>
      <c r="D33" s="176"/>
      <c r="E33" s="176"/>
      <c r="F33" s="176"/>
      <c r="G33" s="176"/>
      <c r="H33" s="176"/>
    </row>
    <row r="34" spans="1:8" x14ac:dyDescent="0.2">
      <c r="A34" s="183" t="s">
        <v>117</v>
      </c>
      <c r="B34" s="191">
        <v>1500</v>
      </c>
      <c r="C34" s="176"/>
      <c r="D34" s="176"/>
      <c r="E34" s="176"/>
      <c r="F34" s="176"/>
      <c r="G34" s="176"/>
      <c r="H34" s="176"/>
    </row>
    <row r="35" spans="1:8" x14ac:dyDescent="0.2">
      <c r="A35" s="183" t="s">
        <v>118</v>
      </c>
      <c r="B35" s="192">
        <v>4.62</v>
      </c>
      <c r="C35" s="176"/>
      <c r="D35" s="176"/>
      <c r="E35" s="176"/>
      <c r="F35" s="176"/>
      <c r="G35" s="176"/>
      <c r="H35" s="176"/>
    </row>
    <row r="36" spans="1:8" x14ac:dyDescent="0.2">
      <c r="A36" s="176"/>
      <c r="B36" s="176"/>
      <c r="C36" s="176"/>
      <c r="D36" s="176"/>
      <c r="E36" s="176"/>
      <c r="F36" s="176"/>
      <c r="G36" s="176"/>
      <c r="H36" s="176"/>
    </row>
    <row r="37" spans="1:8" x14ac:dyDescent="0.2">
      <c r="A37" s="176"/>
      <c r="B37" s="176"/>
      <c r="C37" s="176"/>
      <c r="D37" s="176"/>
      <c r="E37" s="176"/>
      <c r="F37" s="176"/>
      <c r="G37" s="176"/>
      <c r="H37" s="176"/>
    </row>
    <row r="38" spans="1:8" x14ac:dyDescent="0.2">
      <c r="A38" s="176"/>
      <c r="B38" s="176"/>
      <c r="C38" s="176"/>
      <c r="D38" s="176"/>
      <c r="E38" s="176"/>
      <c r="F38" s="176"/>
      <c r="G38" s="176"/>
      <c r="H38" s="176"/>
    </row>
    <row r="39" spans="1:8" x14ac:dyDescent="0.2">
      <c r="A39" s="176"/>
      <c r="B39" s="176"/>
      <c r="C39" s="176"/>
      <c r="D39" s="176"/>
      <c r="E39" s="176"/>
      <c r="F39" s="176"/>
      <c r="G39" s="176"/>
      <c r="H39" s="176"/>
    </row>
    <row r="40" spans="1:8" x14ac:dyDescent="0.2">
      <c r="A40" s="176"/>
      <c r="B40" s="176"/>
      <c r="C40" s="176"/>
      <c r="D40" s="176"/>
      <c r="E40" s="176"/>
      <c r="F40" s="176"/>
      <c r="G40" s="176"/>
      <c r="H40" s="176"/>
    </row>
    <row r="41" spans="1:8" x14ac:dyDescent="0.2">
      <c r="A41" s="176" t="s">
        <v>119</v>
      </c>
      <c r="B41" s="177">
        <v>0.23</v>
      </c>
      <c r="C41" s="176"/>
      <c r="D41" s="176"/>
      <c r="E41" s="176"/>
      <c r="F41" s="176"/>
      <c r="G41" s="176"/>
      <c r="H41" s="176"/>
    </row>
    <row r="42" spans="1:8" x14ac:dyDescent="0.2">
      <c r="A42" s="176" t="s">
        <v>120</v>
      </c>
      <c r="B42" s="193">
        <v>21.65</v>
      </c>
      <c r="C42" s="176"/>
      <c r="D42" s="176"/>
      <c r="E42" s="176"/>
      <c r="F42" s="176"/>
      <c r="G42" s="176"/>
      <c r="H42" s="176"/>
    </row>
    <row r="43" spans="1:8" x14ac:dyDescent="0.2">
      <c r="A43" s="176" t="s">
        <v>121</v>
      </c>
      <c r="B43" s="194">
        <v>4.9800000000000004</v>
      </c>
      <c r="C43" s="176"/>
      <c r="D43" s="176"/>
      <c r="E43" s="176"/>
      <c r="F43" s="176"/>
      <c r="G43" s="176"/>
      <c r="H43" s="176"/>
    </row>
  </sheetData>
  <mergeCells count="2">
    <mergeCell ref="D9:E9"/>
    <mergeCell ref="D10:E10"/>
  </mergeCells>
  <pageMargins left="0.25" right="0.25" top="0.75" bottom="0.75" header="0.3" footer="0.3"/>
  <pageSetup scale="97"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0E2C-410C-4DF5-A90A-A4B91D6DAD77}">
  <sheetPr>
    <pageSetUpPr fitToPage="1"/>
  </sheetPr>
  <dimension ref="A5:I52"/>
  <sheetViews>
    <sheetView topLeftCell="A5" zoomScale="87" zoomScaleNormal="160" workbookViewId="0">
      <selection activeCell="L14" sqref="L14"/>
    </sheetView>
  </sheetViews>
  <sheetFormatPr baseColWidth="10" defaultColWidth="9" defaultRowHeight="15" x14ac:dyDescent="0.2"/>
  <cols>
    <col min="1" max="1" width="13.5" style="141" customWidth="1"/>
    <col min="2" max="2" width="11.5" style="141" bestFit="1" customWidth="1"/>
    <col min="3" max="3" width="11.33203125" style="141" customWidth="1"/>
    <col min="4" max="4" width="12.83203125" style="141" bestFit="1" customWidth="1"/>
    <col min="5" max="7" width="10.83203125" style="141" customWidth="1"/>
    <col min="8" max="8" width="10.5" style="141" customWidth="1"/>
    <col min="9" max="9" width="11" style="141" customWidth="1"/>
    <col min="10" max="16384" width="9" style="141"/>
  </cols>
  <sheetData>
    <row r="5" spans="1:9" x14ac:dyDescent="0.2">
      <c r="A5" s="141" t="s">
        <v>122</v>
      </c>
      <c r="B5" s="81">
        <f>IRR(B22:I22)</f>
        <v>0.22343315848410272</v>
      </c>
      <c r="F5" s="141" t="s">
        <v>123</v>
      </c>
      <c r="G5" s="141" t="s">
        <v>124</v>
      </c>
      <c r="H5" s="142">
        <v>600000</v>
      </c>
    </row>
    <row r="6" spans="1:9" x14ac:dyDescent="0.2">
      <c r="A6" s="141" t="s">
        <v>125</v>
      </c>
      <c r="B6" s="143">
        <f>NPV(B9,C22:I22)+B22</f>
        <v>767922.73830571631</v>
      </c>
      <c r="F6" s="141" t="s">
        <v>126</v>
      </c>
      <c r="H6" s="75">
        <v>7</v>
      </c>
    </row>
    <row r="7" spans="1:9" x14ac:dyDescent="0.2">
      <c r="A7" s="141" t="s">
        <v>127</v>
      </c>
      <c r="B7" s="144" t="s">
        <v>128</v>
      </c>
      <c r="F7" s="141" t="s">
        <v>129</v>
      </c>
      <c r="G7" s="141" t="s">
        <v>130</v>
      </c>
      <c r="H7" s="142">
        <v>170000</v>
      </c>
    </row>
    <row r="8" spans="1:9" x14ac:dyDescent="0.2">
      <c r="A8" s="141" t="s">
        <v>91</v>
      </c>
      <c r="B8" s="101">
        <v>0.35</v>
      </c>
      <c r="F8" s="141" t="s">
        <v>131</v>
      </c>
      <c r="G8" s="141" t="s">
        <v>130</v>
      </c>
      <c r="H8" s="142">
        <v>780000</v>
      </c>
    </row>
    <row r="9" spans="1:9" x14ac:dyDescent="0.2">
      <c r="A9" s="141" t="s">
        <v>97</v>
      </c>
      <c r="B9" s="101">
        <v>8.5000000000000006E-2</v>
      </c>
      <c r="F9" s="141" t="s">
        <v>132</v>
      </c>
      <c r="G9" s="141" t="s">
        <v>133</v>
      </c>
      <c r="H9" s="142">
        <v>650000</v>
      </c>
    </row>
    <row r="10" spans="1:9" x14ac:dyDescent="0.2">
      <c r="F10" s="141" t="s">
        <v>134</v>
      </c>
      <c r="G10" s="141" t="s">
        <v>130</v>
      </c>
      <c r="H10" s="142">
        <v>1400000</v>
      </c>
    </row>
    <row r="11" spans="1:9" x14ac:dyDescent="0.2">
      <c r="C11" s="145"/>
    </row>
    <row r="12" spans="1:9" x14ac:dyDescent="0.2">
      <c r="A12" s="146" t="s">
        <v>135</v>
      </c>
      <c r="B12" s="147">
        <v>0</v>
      </c>
      <c r="C12" s="147">
        <v>1</v>
      </c>
      <c r="D12" s="147">
        <v>2</v>
      </c>
      <c r="E12" s="147">
        <v>3</v>
      </c>
      <c r="F12" s="147">
        <v>4</v>
      </c>
      <c r="G12" s="147">
        <v>5</v>
      </c>
      <c r="H12" s="147">
        <v>6</v>
      </c>
      <c r="I12" s="147">
        <v>7</v>
      </c>
    </row>
    <row r="13" spans="1:9" x14ac:dyDescent="0.2">
      <c r="A13" s="146" t="s">
        <v>136</v>
      </c>
      <c r="B13" s="148"/>
      <c r="C13" s="148">
        <f>H10</f>
        <v>1400000</v>
      </c>
      <c r="D13" s="148">
        <f>C13</f>
        <v>1400000</v>
      </c>
      <c r="E13" s="148">
        <f t="shared" ref="E13:I15" si="0">D13</f>
        <v>1400000</v>
      </c>
      <c r="F13" s="148">
        <f t="shared" si="0"/>
        <v>1400000</v>
      </c>
      <c r="G13" s="148">
        <f t="shared" si="0"/>
        <v>1400000</v>
      </c>
      <c r="H13" s="148">
        <f t="shared" si="0"/>
        <v>1400000</v>
      </c>
      <c r="I13" s="148">
        <f t="shared" si="0"/>
        <v>1400000</v>
      </c>
    </row>
    <row r="14" spans="1:9" x14ac:dyDescent="0.2">
      <c r="A14" s="146" t="s">
        <v>137</v>
      </c>
      <c r="B14" s="148"/>
      <c r="C14" s="148">
        <f>H7+H8</f>
        <v>950000</v>
      </c>
      <c r="D14" s="148">
        <f>C14</f>
        <v>950000</v>
      </c>
      <c r="E14" s="148">
        <f t="shared" si="0"/>
        <v>950000</v>
      </c>
      <c r="F14" s="148">
        <f t="shared" si="0"/>
        <v>950000</v>
      </c>
      <c r="G14" s="148">
        <f t="shared" si="0"/>
        <v>950000</v>
      </c>
      <c r="H14" s="148">
        <f t="shared" si="0"/>
        <v>950000</v>
      </c>
      <c r="I14" s="148">
        <f t="shared" si="0"/>
        <v>950000</v>
      </c>
    </row>
    <row r="15" spans="1:9" x14ac:dyDescent="0.2">
      <c r="A15" s="146" t="s">
        <v>138</v>
      </c>
      <c r="B15" s="148"/>
      <c r="C15" s="148">
        <f>H5/H6</f>
        <v>85714.28571428571</v>
      </c>
      <c r="D15" s="148">
        <f>C15</f>
        <v>85714.28571428571</v>
      </c>
      <c r="E15" s="148">
        <f t="shared" si="0"/>
        <v>85714.28571428571</v>
      </c>
      <c r="F15" s="148">
        <f t="shared" si="0"/>
        <v>85714.28571428571</v>
      </c>
      <c r="G15" s="148">
        <f t="shared" si="0"/>
        <v>85714.28571428571</v>
      </c>
      <c r="H15" s="148">
        <f t="shared" si="0"/>
        <v>85714.28571428571</v>
      </c>
      <c r="I15" s="148">
        <f t="shared" si="0"/>
        <v>85714.28571428571</v>
      </c>
    </row>
    <row r="16" spans="1:9" x14ac:dyDescent="0.2">
      <c r="A16" s="146" t="s">
        <v>72</v>
      </c>
      <c r="B16" s="148"/>
      <c r="C16" s="148">
        <f>C13-C14-C15</f>
        <v>364285.71428571432</v>
      </c>
      <c r="D16" s="148">
        <f t="shared" ref="D16:I16" si="1">D13-D14-D15</f>
        <v>364285.71428571432</v>
      </c>
      <c r="E16" s="148">
        <f t="shared" si="1"/>
        <v>364285.71428571432</v>
      </c>
      <c r="F16" s="148">
        <f t="shared" si="1"/>
        <v>364285.71428571432</v>
      </c>
      <c r="G16" s="148">
        <f t="shared" si="1"/>
        <v>364285.71428571432</v>
      </c>
      <c r="H16" s="148">
        <f t="shared" si="1"/>
        <v>364285.71428571432</v>
      </c>
      <c r="I16" s="148">
        <f t="shared" si="1"/>
        <v>364285.71428571432</v>
      </c>
    </row>
    <row r="17" spans="1:9" x14ac:dyDescent="0.2">
      <c r="A17" s="146" t="s">
        <v>91</v>
      </c>
      <c r="B17" s="148"/>
      <c r="C17" s="148">
        <f t="shared" ref="C17:I17" si="2">C16*$B$8</f>
        <v>127500</v>
      </c>
      <c r="D17" s="148">
        <f t="shared" si="2"/>
        <v>127500</v>
      </c>
      <c r="E17" s="148">
        <f t="shared" si="2"/>
        <v>127500</v>
      </c>
      <c r="F17" s="148">
        <f t="shared" si="2"/>
        <v>127500</v>
      </c>
      <c r="G17" s="148">
        <f t="shared" si="2"/>
        <v>127500</v>
      </c>
      <c r="H17" s="148">
        <f t="shared" si="2"/>
        <v>127500</v>
      </c>
      <c r="I17" s="148">
        <f t="shared" si="2"/>
        <v>127500</v>
      </c>
    </row>
    <row r="18" spans="1:9" x14ac:dyDescent="0.2">
      <c r="A18" s="146" t="s">
        <v>102</v>
      </c>
      <c r="B18" s="149"/>
      <c r="C18" s="149">
        <f>C16-C17</f>
        <v>236785.71428571432</v>
      </c>
      <c r="D18" s="149">
        <f t="shared" ref="D18:I18" si="3">D16-D17</f>
        <v>236785.71428571432</v>
      </c>
      <c r="E18" s="149">
        <f t="shared" si="3"/>
        <v>236785.71428571432</v>
      </c>
      <c r="F18" s="149">
        <f t="shared" si="3"/>
        <v>236785.71428571432</v>
      </c>
      <c r="G18" s="149">
        <f t="shared" si="3"/>
        <v>236785.71428571432</v>
      </c>
      <c r="H18" s="149">
        <f t="shared" si="3"/>
        <v>236785.71428571432</v>
      </c>
      <c r="I18" s="149">
        <f t="shared" si="3"/>
        <v>236785.71428571432</v>
      </c>
    </row>
    <row r="19" spans="1:9" x14ac:dyDescent="0.2">
      <c r="A19" s="146" t="s">
        <v>138</v>
      </c>
      <c r="B19" s="148"/>
      <c r="C19" s="148">
        <f>+C15</f>
        <v>85714.28571428571</v>
      </c>
      <c r="D19" s="148">
        <f t="shared" ref="D19:I19" si="4">+D15</f>
        <v>85714.28571428571</v>
      </c>
      <c r="E19" s="148">
        <f t="shared" si="4"/>
        <v>85714.28571428571</v>
      </c>
      <c r="F19" s="148">
        <f t="shared" si="4"/>
        <v>85714.28571428571</v>
      </c>
      <c r="G19" s="148">
        <f t="shared" si="4"/>
        <v>85714.28571428571</v>
      </c>
      <c r="H19" s="148">
        <f t="shared" si="4"/>
        <v>85714.28571428571</v>
      </c>
      <c r="I19" s="148">
        <f t="shared" si="4"/>
        <v>85714.28571428571</v>
      </c>
    </row>
    <row r="20" spans="1:9" x14ac:dyDescent="0.2">
      <c r="A20" s="146" t="s">
        <v>123</v>
      </c>
      <c r="B20" s="148">
        <f>-H5</f>
        <v>-600000</v>
      </c>
      <c r="C20" s="148"/>
      <c r="D20" s="148"/>
      <c r="E20" s="148"/>
      <c r="F20" s="148"/>
      <c r="G20" s="148"/>
      <c r="H20" s="148"/>
      <c r="I20" s="148"/>
    </row>
    <row r="21" spans="1:9" x14ac:dyDescent="0.2">
      <c r="A21" s="146" t="s">
        <v>139</v>
      </c>
      <c r="B21" s="148">
        <v>-650000</v>
      </c>
      <c r="C21" s="148"/>
      <c r="D21" s="148"/>
      <c r="E21" s="148"/>
      <c r="F21" s="148"/>
      <c r="G21" s="148"/>
      <c r="H21" s="148"/>
      <c r="I21" s="148">
        <f>+H9</f>
        <v>650000</v>
      </c>
    </row>
    <row r="22" spans="1:9" x14ac:dyDescent="0.2">
      <c r="A22" s="146" t="s">
        <v>140</v>
      </c>
      <c r="B22" s="149">
        <f>+B18+B19+B20+B21</f>
        <v>-1250000</v>
      </c>
      <c r="C22" s="149">
        <f t="shared" ref="C22:I22" si="5">+C18+C19+C20+C21</f>
        <v>322500</v>
      </c>
      <c r="D22" s="149">
        <f t="shared" si="5"/>
        <v>322500</v>
      </c>
      <c r="E22" s="149">
        <f t="shared" si="5"/>
        <v>322500</v>
      </c>
      <c r="F22" s="149">
        <f t="shared" si="5"/>
        <v>322500</v>
      </c>
      <c r="G22" s="149">
        <f t="shared" si="5"/>
        <v>322500</v>
      </c>
      <c r="H22" s="149">
        <f t="shared" si="5"/>
        <v>322500</v>
      </c>
      <c r="I22" s="149">
        <f t="shared" si="5"/>
        <v>972500</v>
      </c>
    </row>
    <row r="23" spans="1:9" x14ac:dyDescent="0.2">
      <c r="B23" s="150">
        <f>B22</f>
        <v>-1250000</v>
      </c>
      <c r="C23" s="150">
        <f>B23+C22</f>
        <v>-927500</v>
      </c>
      <c r="D23" s="150">
        <f t="shared" ref="D23:G23" si="6">C23+D22</f>
        <v>-605000</v>
      </c>
      <c r="E23" s="150">
        <f t="shared" si="6"/>
        <v>-282500</v>
      </c>
      <c r="F23" s="150">
        <f t="shared" si="6"/>
        <v>40000</v>
      </c>
      <c r="G23" s="150">
        <f t="shared" si="6"/>
        <v>362500</v>
      </c>
    </row>
    <row r="28" spans="1:9" x14ac:dyDescent="0.2">
      <c r="A28" s="146" t="s">
        <v>135</v>
      </c>
      <c r="B28" s="147">
        <v>0</v>
      </c>
      <c r="C28" s="147">
        <v>1</v>
      </c>
      <c r="D28" s="147">
        <v>2</v>
      </c>
      <c r="E28" s="147">
        <v>3</v>
      </c>
      <c r="F28" s="147">
        <v>4</v>
      </c>
      <c r="G28" s="147">
        <v>5</v>
      </c>
      <c r="H28" s="147">
        <v>6</v>
      </c>
      <c r="I28" s="147">
        <v>7</v>
      </c>
    </row>
    <row r="29" spans="1:9" x14ac:dyDescent="0.2">
      <c r="A29" s="146" t="s">
        <v>141</v>
      </c>
      <c r="B29" s="151">
        <f>B40</f>
        <v>-625000</v>
      </c>
      <c r="C29" s="151">
        <f t="shared" ref="C29:I29" si="7">C40</f>
        <v>224553.48889196504</v>
      </c>
      <c r="D29" s="151">
        <f t="shared" si="7"/>
        <v>223098.13574063533</v>
      </c>
      <c r="E29" s="151">
        <f t="shared" si="7"/>
        <v>221562.73816598259</v>
      </c>
      <c r="F29" s="151">
        <f t="shared" si="7"/>
        <v>219942.89372472384</v>
      </c>
      <c r="G29" s="151">
        <f t="shared" si="7"/>
        <v>218233.95783919591</v>
      </c>
      <c r="H29" s="151">
        <f t="shared" si="7"/>
        <v>216431.03047996399</v>
      </c>
      <c r="I29" s="151">
        <f t="shared" si="7"/>
        <v>864528.94211597415</v>
      </c>
    </row>
    <row r="31" spans="1:9" x14ac:dyDescent="0.2">
      <c r="A31" s="146" t="s">
        <v>135</v>
      </c>
      <c r="B31" s="147">
        <v>0</v>
      </c>
      <c r="C31" s="147">
        <v>1</v>
      </c>
      <c r="D31" s="147">
        <v>2</v>
      </c>
      <c r="E31" s="147">
        <v>3</v>
      </c>
      <c r="F31" s="147">
        <v>4</v>
      </c>
      <c r="G31" s="147">
        <v>5</v>
      </c>
      <c r="H31" s="147">
        <v>6</v>
      </c>
      <c r="I31" s="147">
        <v>7</v>
      </c>
    </row>
    <row r="32" spans="1:9" x14ac:dyDescent="0.2">
      <c r="A32" s="146" t="s">
        <v>72</v>
      </c>
      <c r="B32" s="146"/>
      <c r="C32" s="152">
        <f>C16</f>
        <v>364285.71428571432</v>
      </c>
      <c r="D32" s="152">
        <f t="shared" ref="D32:I32" si="8">D16</f>
        <v>364285.71428571432</v>
      </c>
      <c r="E32" s="152">
        <f t="shared" si="8"/>
        <v>364285.71428571432</v>
      </c>
      <c r="F32" s="152">
        <f t="shared" si="8"/>
        <v>364285.71428571432</v>
      </c>
      <c r="G32" s="152">
        <f t="shared" si="8"/>
        <v>364285.71428571432</v>
      </c>
      <c r="H32" s="152">
        <f t="shared" si="8"/>
        <v>364285.71428571432</v>
      </c>
      <c r="I32" s="152">
        <f t="shared" si="8"/>
        <v>364285.71428571432</v>
      </c>
    </row>
    <row r="33" spans="1:9" x14ac:dyDescent="0.2">
      <c r="A33" s="146" t="s">
        <v>142</v>
      </c>
      <c r="B33" s="146"/>
      <c r="C33" s="152">
        <f>C45</f>
        <v>34375</v>
      </c>
      <c r="D33" s="152">
        <f t="shared" ref="D33:I33" si="9">D45</f>
        <v>30216.848139058075</v>
      </c>
      <c r="E33" s="152">
        <f t="shared" si="9"/>
        <v>25829.997925764346</v>
      </c>
      <c r="F33" s="152">
        <f t="shared" si="9"/>
        <v>21201.870950739463</v>
      </c>
      <c r="G33" s="152">
        <f t="shared" si="9"/>
        <v>16319.196992088209</v>
      </c>
      <c r="H33" s="152">
        <f t="shared" si="9"/>
        <v>11167.975965711137</v>
      </c>
      <c r="I33" s="152">
        <f t="shared" si="9"/>
        <v>5733.4377828833276</v>
      </c>
    </row>
    <row r="34" spans="1:9" x14ac:dyDescent="0.2">
      <c r="A34" s="146" t="s">
        <v>143</v>
      </c>
      <c r="B34" s="146"/>
      <c r="C34" s="152">
        <f>C32-C33</f>
        <v>329910.71428571432</v>
      </c>
      <c r="D34" s="152">
        <f t="shared" ref="D34:I34" si="10">D32-D33</f>
        <v>334068.86614665622</v>
      </c>
      <c r="E34" s="152">
        <f t="shared" si="10"/>
        <v>338455.71635994996</v>
      </c>
      <c r="F34" s="152">
        <f t="shared" si="10"/>
        <v>343083.84333497484</v>
      </c>
      <c r="G34" s="152">
        <f t="shared" si="10"/>
        <v>347966.51729362609</v>
      </c>
      <c r="H34" s="152">
        <f t="shared" si="10"/>
        <v>353117.73832000321</v>
      </c>
      <c r="I34" s="152">
        <f t="shared" si="10"/>
        <v>358552.27650283097</v>
      </c>
    </row>
    <row r="35" spans="1:9" x14ac:dyDescent="0.2">
      <c r="A35" s="146" t="s">
        <v>80</v>
      </c>
      <c r="B35" s="146"/>
      <c r="C35" s="152">
        <f>C34*(1-$B$8)</f>
        <v>214441.96428571432</v>
      </c>
      <c r="D35" s="152">
        <f t="shared" ref="D35:I35" si="11">D34*(1-$B$8)</f>
        <v>217144.76299532654</v>
      </c>
      <c r="E35" s="152">
        <f t="shared" si="11"/>
        <v>219996.21563396748</v>
      </c>
      <c r="F35" s="152">
        <f t="shared" si="11"/>
        <v>223004.49816773366</v>
      </c>
      <c r="G35" s="152">
        <f t="shared" si="11"/>
        <v>226178.23624085696</v>
      </c>
      <c r="H35" s="152">
        <f t="shared" si="11"/>
        <v>229526.52990800209</v>
      </c>
      <c r="I35" s="152">
        <f t="shared" si="11"/>
        <v>233058.97972684013</v>
      </c>
    </row>
    <row r="36" spans="1:9" x14ac:dyDescent="0.2">
      <c r="A36" s="153" t="s">
        <v>144</v>
      </c>
      <c r="B36" s="146"/>
      <c r="C36" s="152">
        <f>+C19</f>
        <v>85714.28571428571</v>
      </c>
      <c r="D36" s="152">
        <f t="shared" ref="D36:I36" si="12">+D19</f>
        <v>85714.28571428571</v>
      </c>
      <c r="E36" s="152">
        <f t="shared" si="12"/>
        <v>85714.28571428571</v>
      </c>
      <c r="F36" s="152">
        <f t="shared" si="12"/>
        <v>85714.28571428571</v>
      </c>
      <c r="G36" s="152">
        <f t="shared" si="12"/>
        <v>85714.28571428571</v>
      </c>
      <c r="H36" s="152">
        <f t="shared" si="12"/>
        <v>85714.28571428571</v>
      </c>
      <c r="I36" s="152">
        <f t="shared" si="12"/>
        <v>85714.28571428571</v>
      </c>
    </row>
    <row r="37" spans="1:9" x14ac:dyDescent="0.2">
      <c r="A37" s="153" t="s">
        <v>145</v>
      </c>
      <c r="B37" s="152">
        <f>B20</f>
        <v>-600000</v>
      </c>
      <c r="C37" s="152"/>
      <c r="D37" s="152"/>
      <c r="E37" s="152"/>
      <c r="F37" s="152"/>
      <c r="G37" s="152"/>
      <c r="H37" s="152"/>
      <c r="I37" s="152"/>
    </row>
    <row r="38" spans="1:9" x14ac:dyDescent="0.2">
      <c r="A38" s="153" t="s">
        <v>77</v>
      </c>
      <c r="B38" s="152">
        <f>B21</f>
        <v>-650000</v>
      </c>
      <c r="C38" s="152"/>
      <c r="D38" s="152"/>
      <c r="E38" s="152"/>
      <c r="F38" s="152"/>
      <c r="G38" s="152"/>
      <c r="H38" s="152"/>
      <c r="I38" s="152">
        <f>I21</f>
        <v>650000</v>
      </c>
    </row>
    <row r="39" spans="1:9" x14ac:dyDescent="0.2">
      <c r="A39" s="153" t="s">
        <v>146</v>
      </c>
      <c r="B39" s="152">
        <f>C44</f>
        <v>625000</v>
      </c>
      <c r="C39" s="152">
        <f>-C46</f>
        <v>-75602.76110803496</v>
      </c>
      <c r="D39" s="152">
        <f t="shared" ref="D39:I39" si="13">-D46</f>
        <v>-79760.912968976889</v>
      </c>
      <c r="E39" s="152">
        <f t="shared" si="13"/>
        <v>-84147.763182270617</v>
      </c>
      <c r="F39" s="152">
        <f t="shared" si="13"/>
        <v>-88775.890157295493</v>
      </c>
      <c r="G39" s="152">
        <f t="shared" si="13"/>
        <v>-93658.564115946749</v>
      </c>
      <c r="H39" s="152">
        <f t="shared" si="13"/>
        <v>-98809.785142323817</v>
      </c>
      <c r="I39" s="152">
        <f t="shared" si="13"/>
        <v>-104244.32332515164</v>
      </c>
    </row>
    <row r="40" spans="1:9" x14ac:dyDescent="0.2">
      <c r="A40" s="146" t="s">
        <v>141</v>
      </c>
      <c r="B40" s="154">
        <f>SUM(B35:B39)</f>
        <v>-625000</v>
      </c>
      <c r="C40" s="154">
        <f t="shared" ref="C40:I40" si="14">SUM(C35:C39)</f>
        <v>224553.48889196504</v>
      </c>
      <c r="D40" s="154">
        <f t="shared" si="14"/>
        <v>223098.13574063533</v>
      </c>
      <c r="E40" s="154">
        <f t="shared" si="14"/>
        <v>221562.73816598259</v>
      </c>
      <c r="F40" s="154">
        <f t="shared" si="14"/>
        <v>219942.89372472384</v>
      </c>
      <c r="G40" s="154">
        <f t="shared" si="14"/>
        <v>218233.95783919591</v>
      </c>
      <c r="H40" s="154">
        <f t="shared" si="14"/>
        <v>216431.03047996399</v>
      </c>
      <c r="I40" s="154">
        <f t="shared" si="14"/>
        <v>864528.94211597415</v>
      </c>
    </row>
    <row r="42" spans="1:9" x14ac:dyDescent="0.2">
      <c r="A42" s="146" t="s">
        <v>147</v>
      </c>
      <c r="B42" s="155">
        <f>PMT(0.055,7,0.5*B22)</f>
        <v>109977.76110803496</v>
      </c>
    </row>
    <row r="43" spans="1:9" x14ac:dyDescent="0.2">
      <c r="A43" s="146"/>
      <c r="B43" s="147">
        <v>0</v>
      </c>
      <c r="C43" s="147">
        <v>1</v>
      </c>
      <c r="D43" s="147">
        <v>2</v>
      </c>
      <c r="E43" s="147">
        <v>3</v>
      </c>
      <c r="F43" s="147">
        <v>4</v>
      </c>
      <c r="G43" s="147">
        <v>5</v>
      </c>
      <c r="H43" s="147">
        <v>6</v>
      </c>
      <c r="I43" s="147">
        <v>7</v>
      </c>
    </row>
    <row r="44" spans="1:9" x14ac:dyDescent="0.2">
      <c r="A44" s="146" t="s">
        <v>148</v>
      </c>
      <c r="B44" s="146"/>
      <c r="C44" s="154">
        <f>-B22*0.5</f>
        <v>625000</v>
      </c>
      <c r="D44" s="154">
        <f t="shared" ref="D44:I44" si="15">C47</f>
        <v>549397.23889196501</v>
      </c>
      <c r="E44" s="154">
        <f t="shared" si="15"/>
        <v>469636.32592298812</v>
      </c>
      <c r="F44" s="154">
        <f t="shared" si="15"/>
        <v>385488.56274071749</v>
      </c>
      <c r="G44" s="154">
        <f t="shared" si="15"/>
        <v>296712.67258342198</v>
      </c>
      <c r="H44" s="154">
        <f t="shared" si="15"/>
        <v>203054.10846747522</v>
      </c>
      <c r="I44" s="154">
        <f t="shared" si="15"/>
        <v>104244.3233251514</v>
      </c>
    </row>
    <row r="45" spans="1:9" x14ac:dyDescent="0.2">
      <c r="A45" s="146" t="s">
        <v>142</v>
      </c>
      <c r="B45" s="146"/>
      <c r="C45" s="154">
        <f t="shared" ref="C45:I45" si="16">C44*0.055</f>
        <v>34375</v>
      </c>
      <c r="D45" s="154">
        <f t="shared" si="16"/>
        <v>30216.848139058075</v>
      </c>
      <c r="E45" s="154">
        <f t="shared" si="16"/>
        <v>25829.997925764346</v>
      </c>
      <c r="F45" s="154">
        <f t="shared" si="16"/>
        <v>21201.870950739463</v>
      </c>
      <c r="G45" s="154">
        <f t="shared" si="16"/>
        <v>16319.196992088209</v>
      </c>
      <c r="H45" s="154">
        <f t="shared" si="16"/>
        <v>11167.975965711137</v>
      </c>
      <c r="I45" s="154">
        <f t="shared" si="16"/>
        <v>5733.4377828833276</v>
      </c>
    </row>
    <row r="46" spans="1:9" x14ac:dyDescent="0.2">
      <c r="A46" s="146" t="s">
        <v>149</v>
      </c>
      <c r="B46" s="146"/>
      <c r="C46" s="154">
        <f t="shared" ref="C46:I46" si="17">$B$42-C45</f>
        <v>75602.76110803496</v>
      </c>
      <c r="D46" s="154">
        <f t="shared" si="17"/>
        <v>79760.912968976889</v>
      </c>
      <c r="E46" s="154">
        <f t="shared" si="17"/>
        <v>84147.763182270617</v>
      </c>
      <c r="F46" s="154">
        <f t="shared" si="17"/>
        <v>88775.890157295493</v>
      </c>
      <c r="G46" s="154">
        <f t="shared" si="17"/>
        <v>93658.564115946749</v>
      </c>
      <c r="H46" s="154">
        <f t="shared" si="17"/>
        <v>98809.785142323817</v>
      </c>
      <c r="I46" s="154">
        <f t="shared" si="17"/>
        <v>104244.32332515164</v>
      </c>
    </row>
    <row r="47" spans="1:9" x14ac:dyDescent="0.2">
      <c r="A47" s="146" t="s">
        <v>150</v>
      </c>
      <c r="B47" s="146"/>
      <c r="C47" s="154">
        <f t="shared" ref="C47:I47" si="18">C44-C46</f>
        <v>549397.23889196501</v>
      </c>
      <c r="D47" s="154">
        <f t="shared" si="18"/>
        <v>469636.32592298812</v>
      </c>
      <c r="E47" s="154">
        <f t="shared" si="18"/>
        <v>385488.56274071749</v>
      </c>
      <c r="F47" s="154">
        <f t="shared" si="18"/>
        <v>296712.67258342198</v>
      </c>
      <c r="G47" s="154">
        <f t="shared" si="18"/>
        <v>203054.10846747522</v>
      </c>
      <c r="H47" s="154">
        <f t="shared" si="18"/>
        <v>104244.3233251514</v>
      </c>
      <c r="I47" s="154">
        <f t="shared" si="18"/>
        <v>-2.3283064365386963E-10</v>
      </c>
    </row>
    <row r="50" spans="1:9" x14ac:dyDescent="0.2">
      <c r="A50" s="141" t="s">
        <v>132</v>
      </c>
      <c r="B50" s="141">
        <v>650000</v>
      </c>
      <c r="C50" s="141">
        <v>650000</v>
      </c>
      <c r="D50" s="141">
        <v>650000</v>
      </c>
      <c r="E50" s="141">
        <v>650000</v>
      </c>
      <c r="F50" s="141">
        <v>650000</v>
      </c>
      <c r="G50" s="141">
        <v>650000</v>
      </c>
      <c r="H50" s="141">
        <v>650000</v>
      </c>
      <c r="I50" s="141">
        <v>0</v>
      </c>
    </row>
    <row r="51" spans="1:9" x14ac:dyDescent="0.2">
      <c r="A51" s="141" t="s">
        <v>151</v>
      </c>
      <c r="B51" s="141">
        <f>B50</f>
        <v>650000</v>
      </c>
      <c r="C51" s="141">
        <f>(C50-B50)</f>
        <v>0</v>
      </c>
      <c r="D51" s="141">
        <f t="shared" ref="D51:I51" si="19">D50-C50</f>
        <v>0</v>
      </c>
      <c r="E51" s="141">
        <f t="shared" si="19"/>
        <v>0</v>
      </c>
      <c r="F51" s="141">
        <f t="shared" si="19"/>
        <v>0</v>
      </c>
      <c r="G51" s="141">
        <f t="shared" si="19"/>
        <v>0</v>
      </c>
      <c r="H51" s="141">
        <f t="shared" si="19"/>
        <v>0</v>
      </c>
      <c r="I51" s="141">
        <f t="shared" si="19"/>
        <v>-650000</v>
      </c>
    </row>
    <row r="52" spans="1:9" x14ac:dyDescent="0.2">
      <c r="A52" s="156" t="s">
        <v>152</v>
      </c>
      <c r="B52" s="141">
        <f>-B51</f>
        <v>-650000</v>
      </c>
      <c r="C52" s="141">
        <f t="shared" ref="C52:I52" si="20">-C51</f>
        <v>0</v>
      </c>
      <c r="D52" s="141">
        <f t="shared" si="20"/>
        <v>0</v>
      </c>
      <c r="E52" s="141">
        <f t="shared" si="20"/>
        <v>0</v>
      </c>
      <c r="F52" s="141">
        <f t="shared" si="20"/>
        <v>0</v>
      </c>
      <c r="G52" s="141">
        <f t="shared" si="20"/>
        <v>0</v>
      </c>
      <c r="H52" s="141">
        <f t="shared" si="20"/>
        <v>0</v>
      </c>
      <c r="I52" s="141">
        <f t="shared" si="20"/>
        <v>650000</v>
      </c>
    </row>
  </sheetData>
  <pageMargins left="0.7" right="0.7" top="0.75" bottom="0.75" header="0.3" footer="0.3"/>
  <pageSetup scale="82"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A7EA-8362-4E41-911B-67CF958A521A}">
  <dimension ref="A1:I4"/>
  <sheetViews>
    <sheetView workbookViewId="0">
      <selection activeCell="H11" sqref="H11"/>
    </sheetView>
  </sheetViews>
  <sheetFormatPr baseColWidth="10" defaultColWidth="8.83203125" defaultRowHeight="16" x14ac:dyDescent="0.2"/>
  <cols>
    <col min="2" max="4" width="14.6640625" bestFit="1" customWidth="1"/>
    <col min="5" max="5" width="13" bestFit="1" customWidth="1"/>
    <col min="6" max="7" width="14" bestFit="1" customWidth="1"/>
    <col min="8" max="8" width="11.83203125" bestFit="1" customWidth="1"/>
    <col min="9" max="9" width="13.5" bestFit="1" customWidth="1"/>
  </cols>
  <sheetData>
    <row r="1" spans="1:9" x14ac:dyDescent="0.2">
      <c r="A1" t="s">
        <v>135</v>
      </c>
      <c r="B1" s="141" t="s">
        <v>153</v>
      </c>
      <c r="C1" s="141" t="s">
        <v>154</v>
      </c>
      <c r="D1" s="141" t="s">
        <v>155</v>
      </c>
      <c r="E1" s="141" t="s">
        <v>156</v>
      </c>
      <c r="F1" s="141" t="s">
        <v>157</v>
      </c>
      <c r="G1" s="141" t="s">
        <v>158</v>
      </c>
    </row>
    <row r="2" spans="1:9" x14ac:dyDescent="0.2">
      <c r="A2" t="s">
        <v>106</v>
      </c>
      <c r="B2" s="195">
        <v>-1250000</v>
      </c>
      <c r="C2" s="195">
        <v>-927500</v>
      </c>
      <c r="D2" s="195">
        <v>-605000</v>
      </c>
      <c r="E2" s="195">
        <v>-282500</v>
      </c>
      <c r="F2" s="195">
        <v>40000</v>
      </c>
      <c r="G2" s="196">
        <v>362500</v>
      </c>
      <c r="H2" s="196"/>
      <c r="I2" s="196"/>
    </row>
    <row r="3" spans="1:9" x14ac:dyDescent="0.2">
      <c r="B3" s="141"/>
      <c r="C3" s="141"/>
      <c r="D3" s="141"/>
      <c r="E3" s="141"/>
      <c r="F3" s="141"/>
      <c r="G3" s="63"/>
      <c r="H3" s="196"/>
      <c r="I3" s="196"/>
    </row>
    <row r="4" spans="1:9" x14ac:dyDescent="0.2">
      <c r="B4" s="141"/>
      <c r="C4" s="141"/>
      <c r="D4" s="141"/>
      <c r="E4" s="141"/>
      <c r="F4" s="14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F315-1F41-4852-9EF3-B29EE9221F25}">
  <dimension ref="A10:L61"/>
  <sheetViews>
    <sheetView topLeftCell="A54" zoomScale="109" zoomScaleNormal="130" workbookViewId="0">
      <selection activeCell="F63" sqref="F63"/>
    </sheetView>
  </sheetViews>
  <sheetFormatPr baseColWidth="10" defaultColWidth="8.83203125" defaultRowHeight="16" x14ac:dyDescent="0.2"/>
  <cols>
    <col min="1" max="1" width="29.33203125" bestFit="1" customWidth="1"/>
    <col min="3" max="3" width="21.83203125" customWidth="1"/>
    <col min="5" max="5" width="10.1640625" customWidth="1"/>
    <col min="6" max="6" width="11.83203125" bestFit="1" customWidth="1"/>
  </cols>
  <sheetData>
    <row r="10" spans="1:7" x14ac:dyDescent="0.2">
      <c r="A10" s="77" t="s">
        <v>159</v>
      </c>
      <c r="B10" s="92">
        <v>0.03</v>
      </c>
      <c r="C10" t="s">
        <v>160</v>
      </c>
    </row>
    <row r="11" spans="1:7" x14ac:dyDescent="0.2">
      <c r="A11" s="77" t="s">
        <v>161</v>
      </c>
      <c r="B11" s="89">
        <v>5.8000000000000003E-2</v>
      </c>
      <c r="C11" t="s">
        <v>162</v>
      </c>
    </row>
    <row r="13" spans="1:7" x14ac:dyDescent="0.2">
      <c r="A13" s="77"/>
      <c r="B13" s="73" t="s">
        <v>163</v>
      </c>
      <c r="C13" s="77" t="s">
        <v>164</v>
      </c>
      <c r="D13" t="s">
        <v>165</v>
      </c>
    </row>
    <row r="14" spans="1:7" x14ac:dyDescent="0.2">
      <c r="A14" s="77" t="s">
        <v>166</v>
      </c>
      <c r="B14" s="104">
        <f>C14/(1+'Exh. 4 Sensor Industry'!D21)</f>
        <v>1.0932040083605303</v>
      </c>
      <c r="C14" s="83">
        <f>'Exh. 4 Sensor Industry'!D18</f>
        <v>1.2350000000000001</v>
      </c>
      <c r="D14" s="63">
        <f>'Exh. 4 Sensor Industry'!$D$17</f>
        <v>33490.92</v>
      </c>
      <c r="E14" s="90"/>
      <c r="F14">
        <f>D14/$D$18</f>
        <v>0.66139777193503513</v>
      </c>
      <c r="G14" s="90">
        <f>F14*B14</f>
        <v>0.72304269540010424</v>
      </c>
    </row>
    <row r="15" spans="1:7" x14ac:dyDescent="0.2">
      <c r="A15" s="77" t="s">
        <v>167</v>
      </c>
      <c r="B15" s="104">
        <f>C15/(1+'Exh. 4 Sensor Industry'!H21)</f>
        <v>1.1223599208488364</v>
      </c>
      <c r="C15" s="83">
        <f>'Exh. 4 Sensor Industry'!H18</f>
        <v>1.246</v>
      </c>
      <c r="D15" s="63">
        <f>'Exh. 4 Sensor Industry'!$H$17</f>
        <v>16940.38</v>
      </c>
      <c r="E15" s="90"/>
      <c r="F15">
        <f t="shared" ref="F15:F17" si="0">D15/$D$18</f>
        <v>0.33454827719670982</v>
      </c>
      <c r="G15" s="90">
        <f t="shared" ref="G15:G17" si="1">F15*B15</f>
        <v>0.37548357791461379</v>
      </c>
    </row>
    <row r="16" spans="1:7" x14ac:dyDescent="0.2">
      <c r="A16" s="77" t="s">
        <v>168</v>
      </c>
      <c r="B16" s="104">
        <f>C16/(1+'Exh. 4 Sensor Industry'!L21)</f>
        <v>0.96368556424052765</v>
      </c>
      <c r="C16" s="83">
        <f>'Exh. 4 Sensor Industry'!L18</f>
        <v>1.02</v>
      </c>
      <c r="D16" s="63">
        <f>'Exh. 4 Sensor Industry'!$L$17</f>
        <v>90.669200160000003</v>
      </c>
      <c r="E16" s="90"/>
      <c r="F16">
        <f t="shared" si="0"/>
        <v>1.7905870298264646E-3</v>
      </c>
      <c r="G16" s="90">
        <f t="shared" si="1"/>
        <v>1.7255628721600871E-3</v>
      </c>
    </row>
    <row r="17" spans="1:10" x14ac:dyDescent="0.2">
      <c r="A17" s="77" t="s">
        <v>169</v>
      </c>
      <c r="B17" s="104">
        <f>C17/(1+'Exh. 4 Sensor Industry'!P21)</f>
        <v>0.85</v>
      </c>
      <c r="C17" s="83">
        <f>'Exh. 4 Sensor Industry'!P18</f>
        <v>0.85</v>
      </c>
      <c r="D17" s="63">
        <f>'Exh. 4 Sensor Industry'!$P$17</f>
        <v>114.60899999999999</v>
      </c>
      <c r="E17" s="90"/>
      <c r="F17">
        <f t="shared" si="0"/>
        <v>2.2633638384285189E-3</v>
      </c>
      <c r="G17" s="90">
        <f t="shared" si="1"/>
        <v>1.923859262664241E-3</v>
      </c>
    </row>
    <row r="18" spans="1:10" ht="102" x14ac:dyDescent="0.2">
      <c r="A18" s="77" t="s">
        <v>170</v>
      </c>
      <c r="B18" s="120">
        <f>SUMPRODUCT(B14:B17,D14:D17)/D18</f>
        <v>1.1021756954495425</v>
      </c>
      <c r="C18" s="122" t="s">
        <v>171</v>
      </c>
      <c r="D18" s="63">
        <f>SUM(D14:D17)</f>
        <v>50636.578200160002</v>
      </c>
      <c r="E18" s="90"/>
      <c r="G18" s="90">
        <f>SUM(G14:G17)</f>
        <v>1.1021756954495425</v>
      </c>
    </row>
    <row r="19" spans="1:10" x14ac:dyDescent="0.2">
      <c r="A19" t="s">
        <v>172</v>
      </c>
      <c r="F19" t="s">
        <v>115</v>
      </c>
      <c r="G19" t="s">
        <v>165</v>
      </c>
      <c r="H19" t="s">
        <v>173</v>
      </c>
    </row>
    <row r="20" spans="1:10" x14ac:dyDescent="0.2">
      <c r="A20" t="s">
        <v>174</v>
      </c>
      <c r="B20" s="104">
        <f>B18*(1+H20)</f>
        <v>2.0466816145828837</v>
      </c>
      <c r="C20" t="s">
        <v>175</v>
      </c>
      <c r="F20">
        <f>'Exh. 1 Burton BS'!D21+'Exh. 1 Burton BS'!D18+'Exh. 1 Burton BS'!D16-'Exh. 1 Burton BS'!D5</f>
        <v>6105.7458457930006</v>
      </c>
      <c r="G20">
        <f>4.75*1500</f>
        <v>7125</v>
      </c>
      <c r="H20">
        <f>F20/G20</f>
        <v>0.85694678537445623</v>
      </c>
    </row>
    <row r="21" spans="1:10" x14ac:dyDescent="0.2">
      <c r="A21" t="s">
        <v>176</v>
      </c>
      <c r="B21" s="81">
        <f>B10+B20*B11</f>
        <v>0.14870753364580724</v>
      </c>
    </row>
    <row r="22" spans="1:10" x14ac:dyDescent="0.2">
      <c r="A22" t="s">
        <v>177</v>
      </c>
      <c r="B22" s="74">
        <f>'Exh. 1 Burton BS'!D66</f>
        <v>5.5E-2</v>
      </c>
    </row>
    <row r="23" spans="1:10" x14ac:dyDescent="0.2">
      <c r="A23" t="s">
        <v>67</v>
      </c>
      <c r="B23" s="74">
        <f>'Exh. 2 Burton IS'!D34</f>
        <v>0.35</v>
      </c>
    </row>
    <row r="24" spans="1:10" x14ac:dyDescent="0.2">
      <c r="A24" t="s">
        <v>178</v>
      </c>
      <c r="B24" s="81">
        <f>B21*(G20/(F20+G20))+B22*(1-B23)*(F20/(F20+G20))</f>
        <v>9.6579709572441622E-2</v>
      </c>
    </row>
    <row r="32" spans="1:10" x14ac:dyDescent="0.2">
      <c r="A32" s="77" t="s">
        <v>170</v>
      </c>
      <c r="B32" s="83">
        <f>B18</f>
        <v>1.1021756954495425</v>
      </c>
      <c r="I32" t="s">
        <v>179</v>
      </c>
      <c r="J32">
        <v>0.35</v>
      </c>
    </row>
    <row r="33" spans="1:10" x14ac:dyDescent="0.2">
      <c r="A33" t="s">
        <v>180</v>
      </c>
      <c r="B33" s="74">
        <v>5.3999999999999999E-2</v>
      </c>
      <c r="I33" t="s">
        <v>181</v>
      </c>
    </row>
    <row r="34" spans="1:10" x14ac:dyDescent="0.2">
      <c r="A34" t="s">
        <v>182</v>
      </c>
      <c r="B34" s="91">
        <f>I36/I34</f>
        <v>0.25925925925925924</v>
      </c>
      <c r="I34">
        <v>1.35</v>
      </c>
    </row>
    <row r="35" spans="1:10" x14ac:dyDescent="0.2">
      <c r="A35" t="s">
        <v>183</v>
      </c>
      <c r="B35" s="91">
        <f>I35/I34</f>
        <v>0.7407407407407407</v>
      </c>
      <c r="I35">
        <v>1</v>
      </c>
    </row>
    <row r="36" spans="1:10" x14ac:dyDescent="0.2">
      <c r="A36" t="s">
        <v>184</v>
      </c>
      <c r="B36" s="87">
        <f>B32*I34</f>
        <v>1.4879371888568824</v>
      </c>
      <c r="C36" s="61"/>
      <c r="I36">
        <v>0.35</v>
      </c>
    </row>
    <row r="37" spans="1:10" x14ac:dyDescent="0.2">
      <c r="A37" t="s">
        <v>185</v>
      </c>
      <c r="B37" s="91">
        <f>J37+B36*J38</f>
        <v>0.11630035695369918</v>
      </c>
      <c r="C37" s="88"/>
      <c r="J37" s="115">
        <v>0.03</v>
      </c>
    </row>
    <row r="38" spans="1:10" x14ac:dyDescent="0.2">
      <c r="A38" t="s">
        <v>186</v>
      </c>
      <c r="B38" s="91">
        <f>B35*B37+B33*(1-32%)*B34</f>
        <v>9.5668412558295682E-2</v>
      </c>
      <c r="C38" s="88"/>
      <c r="J38" s="88">
        <v>5.8000000000000003E-2</v>
      </c>
    </row>
    <row r="39" spans="1:10" x14ac:dyDescent="0.2">
      <c r="A39" t="s">
        <v>187</v>
      </c>
      <c r="B39" s="74">
        <v>0.03</v>
      </c>
      <c r="C39" s="88"/>
    </row>
    <row r="40" spans="1:10" x14ac:dyDescent="0.2">
      <c r="A40" t="s">
        <v>188</v>
      </c>
      <c r="B40" s="91">
        <f>B35*(B37+B39)+(B39+B33)*(1-32%)*B34</f>
        <v>0.12317952366940681</v>
      </c>
    </row>
    <row r="45" spans="1:10" x14ac:dyDescent="0.2">
      <c r="A45" t="s">
        <v>189</v>
      </c>
      <c r="B45" s="83">
        <v>1</v>
      </c>
    </row>
    <row r="46" spans="1:10" x14ac:dyDescent="0.2">
      <c r="A46" t="s">
        <v>67</v>
      </c>
      <c r="B46" s="72">
        <v>0.25</v>
      </c>
    </row>
    <row r="47" spans="1:10" x14ac:dyDescent="0.2">
      <c r="A47" t="s">
        <v>159</v>
      </c>
      <c r="B47" s="74">
        <v>3.5000000000000003E-2</v>
      </c>
    </row>
    <row r="48" spans="1:10" x14ac:dyDescent="0.2">
      <c r="A48" s="88" t="s">
        <v>190</v>
      </c>
      <c r="B48" s="74">
        <v>0.06</v>
      </c>
    </row>
    <row r="50" spans="1:12" x14ac:dyDescent="0.2">
      <c r="A50" s="73" t="s">
        <v>191</v>
      </c>
      <c r="B50" s="73" t="s">
        <v>192</v>
      </c>
      <c r="C50" s="73" t="s">
        <v>177</v>
      </c>
      <c r="D50" s="73" t="s">
        <v>193</v>
      </c>
      <c r="F50" s="123" t="s">
        <v>194</v>
      </c>
      <c r="G50" s="123" t="s">
        <v>195</v>
      </c>
      <c r="H50" s="123" t="s">
        <v>196</v>
      </c>
      <c r="I50" s="123" t="s">
        <v>197</v>
      </c>
      <c r="J50" s="123" t="s">
        <v>198</v>
      </c>
      <c r="K50" s="123" t="s">
        <v>182</v>
      </c>
      <c r="L50" s="123" t="s">
        <v>183</v>
      </c>
    </row>
    <row r="51" spans="1:12" x14ac:dyDescent="0.2">
      <c r="A51" s="93">
        <v>1</v>
      </c>
      <c r="B51" s="93">
        <v>0</v>
      </c>
      <c r="C51" s="94">
        <v>0.04</v>
      </c>
      <c r="D51" s="96">
        <f>G51*L51+C51*(1-$B$46)*K51</f>
        <v>9.5000000000000001E-2</v>
      </c>
      <c r="F51" s="90">
        <f>$B$45*(1+B51)</f>
        <v>1</v>
      </c>
      <c r="G51">
        <f>$B$47+F51*$B$48</f>
        <v>9.5000000000000001E-2</v>
      </c>
      <c r="H51">
        <v>1</v>
      </c>
      <c r="I51">
        <v>0</v>
      </c>
      <c r="J51">
        <f>H51+I51</f>
        <v>1</v>
      </c>
      <c r="K51" s="119">
        <f>I51/J51</f>
        <v>0</v>
      </c>
      <c r="L51" s="119">
        <f>H51/J51</f>
        <v>1</v>
      </c>
    </row>
    <row r="52" spans="1:12" x14ac:dyDescent="0.2">
      <c r="A52" s="85">
        <v>2</v>
      </c>
      <c r="B52" s="85">
        <f t="shared" ref="B52:B59" si="2">B51+0.1</f>
        <v>0.1</v>
      </c>
      <c r="C52" s="95">
        <v>4.1000000000000002E-2</v>
      </c>
      <c r="D52" s="96">
        <f t="shared" ref="D52:D59" si="3">G52*L52+C52*(1-$B$46)*K52</f>
        <v>9.4613636363636372E-2</v>
      </c>
      <c r="F52" s="90">
        <f t="shared" ref="F52:F59" si="4">$B$45*(1+B52)</f>
        <v>1.1000000000000001</v>
      </c>
      <c r="G52">
        <f t="shared" ref="G52:G59" si="5">$B$47+F52*$B$48</f>
        <v>0.10100000000000001</v>
      </c>
      <c r="H52">
        <v>1</v>
      </c>
      <c r="I52">
        <v>0.1</v>
      </c>
      <c r="J52">
        <f t="shared" ref="J52:J59" si="6">H52+I52</f>
        <v>1.1000000000000001</v>
      </c>
      <c r="K52" s="119">
        <f t="shared" ref="K52:K59" si="7">I52/J52</f>
        <v>9.0909090909090912E-2</v>
      </c>
      <c r="L52" s="119">
        <f t="shared" ref="L52:L59" si="8">H52/J52</f>
        <v>0.90909090909090906</v>
      </c>
    </row>
    <row r="53" spans="1:12" x14ac:dyDescent="0.2">
      <c r="A53" s="85">
        <v>3</v>
      </c>
      <c r="B53" s="85">
        <f t="shared" si="2"/>
        <v>0.2</v>
      </c>
      <c r="C53" s="95">
        <v>4.2999999999999997E-2</v>
      </c>
      <c r="D53" s="96">
        <f t="shared" si="3"/>
        <v>9.4541666666666677E-2</v>
      </c>
      <c r="E53" s="79"/>
      <c r="F53" s="90">
        <f t="shared" si="4"/>
        <v>1.2</v>
      </c>
      <c r="G53">
        <f t="shared" si="5"/>
        <v>0.107</v>
      </c>
      <c r="H53">
        <v>1</v>
      </c>
      <c r="I53">
        <v>0.2</v>
      </c>
      <c r="J53">
        <f t="shared" si="6"/>
        <v>1.2</v>
      </c>
      <c r="K53" s="119">
        <f t="shared" si="7"/>
        <v>0.16666666666666669</v>
      </c>
      <c r="L53" s="119">
        <f t="shared" si="8"/>
        <v>0.83333333333333337</v>
      </c>
    </row>
    <row r="54" spans="1:12" x14ac:dyDescent="0.2">
      <c r="A54" s="85">
        <v>4</v>
      </c>
      <c r="B54" s="85">
        <f t="shared" si="2"/>
        <v>0.30000000000000004</v>
      </c>
      <c r="C54" s="95">
        <v>5.5E-2</v>
      </c>
      <c r="D54" s="96">
        <f t="shared" si="3"/>
        <v>9.6442307692307688E-2</v>
      </c>
      <c r="E54" s="79"/>
      <c r="F54" s="90">
        <f t="shared" si="4"/>
        <v>1.3</v>
      </c>
      <c r="G54">
        <f t="shared" si="5"/>
        <v>0.113</v>
      </c>
      <c r="H54">
        <v>1</v>
      </c>
      <c r="I54">
        <v>0.3</v>
      </c>
      <c r="J54">
        <f t="shared" si="6"/>
        <v>1.3</v>
      </c>
      <c r="K54" s="119">
        <f t="shared" si="7"/>
        <v>0.23076923076923075</v>
      </c>
      <c r="L54" s="119">
        <f t="shared" si="8"/>
        <v>0.76923076923076916</v>
      </c>
    </row>
    <row r="55" spans="1:12" x14ac:dyDescent="0.2">
      <c r="A55" s="85">
        <v>5</v>
      </c>
      <c r="B55" s="85">
        <f t="shared" si="2"/>
        <v>0.4</v>
      </c>
      <c r="C55" s="95">
        <v>7.0000000000000007E-2</v>
      </c>
      <c r="D55" s="96">
        <f t="shared" si="3"/>
        <v>9.9999999999999992E-2</v>
      </c>
      <c r="E55" s="79"/>
      <c r="F55" s="90">
        <f t="shared" si="4"/>
        <v>1.4</v>
      </c>
      <c r="G55">
        <f t="shared" si="5"/>
        <v>0.11899999999999999</v>
      </c>
      <c r="H55">
        <v>1</v>
      </c>
      <c r="I55">
        <v>0.4</v>
      </c>
      <c r="J55">
        <f t="shared" si="6"/>
        <v>1.4</v>
      </c>
      <c r="K55" s="119">
        <f t="shared" si="7"/>
        <v>0.28571428571428575</v>
      </c>
      <c r="L55" s="119">
        <f t="shared" si="8"/>
        <v>0.7142857142857143</v>
      </c>
    </row>
    <row r="56" spans="1:12" x14ac:dyDescent="0.2">
      <c r="A56" s="85">
        <v>6</v>
      </c>
      <c r="B56" s="85">
        <f t="shared" si="2"/>
        <v>0.5</v>
      </c>
      <c r="C56" s="95">
        <v>0.08</v>
      </c>
      <c r="D56" s="96">
        <f t="shared" si="3"/>
        <v>0.10333333333333333</v>
      </c>
      <c r="E56" s="79"/>
      <c r="F56" s="90">
        <f t="shared" si="4"/>
        <v>1.5</v>
      </c>
      <c r="G56">
        <f t="shared" si="5"/>
        <v>0.125</v>
      </c>
      <c r="H56">
        <v>1</v>
      </c>
      <c r="I56">
        <v>0.5</v>
      </c>
      <c r="J56">
        <f t="shared" si="6"/>
        <v>1.5</v>
      </c>
      <c r="K56" s="119">
        <f t="shared" si="7"/>
        <v>0.33333333333333331</v>
      </c>
      <c r="L56" s="119">
        <f t="shared" si="8"/>
        <v>0.66666666666666663</v>
      </c>
    </row>
    <row r="57" spans="1:12" x14ac:dyDescent="0.2">
      <c r="A57" s="85">
        <v>7</v>
      </c>
      <c r="B57" s="85">
        <f t="shared" si="2"/>
        <v>0.6</v>
      </c>
      <c r="C57" s="95">
        <v>0.09</v>
      </c>
      <c r="D57" s="96">
        <f t="shared" si="3"/>
        <v>0.1071875</v>
      </c>
      <c r="E57" s="79"/>
      <c r="F57" s="90">
        <f t="shared" si="4"/>
        <v>1.6</v>
      </c>
      <c r="G57">
        <f t="shared" si="5"/>
        <v>0.13100000000000001</v>
      </c>
      <c r="H57">
        <v>1</v>
      </c>
      <c r="I57">
        <v>0.6</v>
      </c>
      <c r="J57">
        <f t="shared" si="6"/>
        <v>1.6</v>
      </c>
      <c r="K57" s="119">
        <f t="shared" si="7"/>
        <v>0.37499999999999994</v>
      </c>
      <c r="L57" s="119">
        <f t="shared" si="8"/>
        <v>0.625</v>
      </c>
    </row>
    <row r="58" spans="1:12" x14ac:dyDescent="0.2">
      <c r="A58" s="85">
        <v>8</v>
      </c>
      <c r="B58" s="85">
        <f t="shared" si="2"/>
        <v>0.7</v>
      </c>
      <c r="C58" s="95">
        <v>0.1</v>
      </c>
      <c r="D58" s="96">
        <f t="shared" si="3"/>
        <v>0.11147058823529413</v>
      </c>
      <c r="E58" s="79"/>
      <c r="F58" s="90">
        <f t="shared" si="4"/>
        <v>1.7</v>
      </c>
      <c r="G58">
        <f t="shared" si="5"/>
        <v>0.13700000000000001</v>
      </c>
      <c r="H58">
        <v>1</v>
      </c>
      <c r="I58">
        <v>0.7</v>
      </c>
      <c r="J58">
        <f t="shared" si="6"/>
        <v>1.7</v>
      </c>
      <c r="K58" s="119">
        <f t="shared" si="7"/>
        <v>0.41176470588235292</v>
      </c>
      <c r="L58" s="119">
        <f t="shared" si="8"/>
        <v>0.58823529411764708</v>
      </c>
    </row>
    <row r="59" spans="1:12" x14ac:dyDescent="0.2">
      <c r="A59" s="85">
        <v>9</v>
      </c>
      <c r="B59" s="85">
        <f t="shared" si="2"/>
        <v>0.79999999999999993</v>
      </c>
      <c r="C59" s="95">
        <v>0.12</v>
      </c>
      <c r="D59" s="96">
        <f t="shared" si="3"/>
        <v>0.11944444444444444</v>
      </c>
      <c r="E59" s="79"/>
      <c r="F59" s="90">
        <f t="shared" si="4"/>
        <v>1.7999999999999998</v>
      </c>
      <c r="G59">
        <f t="shared" si="5"/>
        <v>0.14299999999999999</v>
      </c>
      <c r="H59">
        <v>1</v>
      </c>
      <c r="I59">
        <v>0.8</v>
      </c>
      <c r="J59">
        <f t="shared" si="6"/>
        <v>1.8</v>
      </c>
      <c r="K59" s="119">
        <f t="shared" si="7"/>
        <v>0.44444444444444448</v>
      </c>
      <c r="L59" s="119">
        <f t="shared" si="8"/>
        <v>0.55555555555555558</v>
      </c>
    </row>
    <row r="61" spans="1:12" x14ac:dyDescent="0.2">
      <c r="A61" t="s">
        <v>199</v>
      </c>
      <c r="B61" s="132">
        <f>B53</f>
        <v>0.2</v>
      </c>
      <c r="C61" t="s">
        <v>200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3B44-624B-4183-A890-32547AA1AE3F}">
  <dimension ref="A4:P77"/>
  <sheetViews>
    <sheetView zoomScale="93" zoomScaleNormal="145" workbookViewId="0">
      <selection activeCell="M41" sqref="M41"/>
    </sheetView>
  </sheetViews>
  <sheetFormatPr baseColWidth="10" defaultColWidth="8.83203125" defaultRowHeight="16" x14ac:dyDescent="0.2"/>
  <cols>
    <col min="1" max="1" width="18.6640625" customWidth="1"/>
    <col min="2" max="2" width="11.1640625" customWidth="1"/>
    <col min="3" max="3" width="10.1640625" customWidth="1"/>
    <col min="4" max="4" width="12.83203125" customWidth="1"/>
    <col min="5" max="5" width="15.1640625" customWidth="1"/>
    <col min="6" max="6" width="10.83203125" bestFit="1" customWidth="1"/>
    <col min="8" max="8" width="12.6640625" bestFit="1" customWidth="1"/>
    <col min="10" max="10" width="14.83203125" bestFit="1" customWidth="1"/>
    <col min="11" max="11" width="10.6640625" bestFit="1" customWidth="1"/>
    <col min="13" max="13" width="10.1640625" bestFit="1" customWidth="1"/>
  </cols>
  <sheetData>
    <row r="4" spans="1:13" x14ac:dyDescent="0.2">
      <c r="G4" s="64"/>
    </row>
    <row r="5" spans="1:13" x14ac:dyDescent="0.2">
      <c r="A5" s="77"/>
      <c r="B5" s="73">
        <v>2016</v>
      </c>
      <c r="C5" s="73">
        <v>2016</v>
      </c>
      <c r="D5" s="73">
        <v>2016</v>
      </c>
    </row>
    <row r="6" spans="1:13" x14ac:dyDescent="0.2">
      <c r="A6" s="80" t="s">
        <v>201</v>
      </c>
      <c r="B6" s="73" t="s">
        <v>4</v>
      </c>
      <c r="C6" s="73" t="s">
        <v>5</v>
      </c>
      <c r="D6" s="73" t="s">
        <v>202</v>
      </c>
      <c r="G6" s="61"/>
      <c r="H6" s="64"/>
    </row>
    <row r="7" spans="1:13" x14ac:dyDescent="0.2">
      <c r="A7" s="77" t="s">
        <v>203</v>
      </c>
      <c r="B7" s="78">
        <f>'Exh. 1 Burton BS'!D12</f>
        <v>10081.9783717588</v>
      </c>
      <c r="C7" s="78">
        <f>'Exh. 5 EE BS'!D12</f>
        <v>2017.1407589720918</v>
      </c>
      <c r="D7" s="86">
        <f>C7+B7+M8</f>
        <v>17536.51467694492</v>
      </c>
    </row>
    <row r="8" spans="1:13" x14ac:dyDescent="0.2">
      <c r="A8" s="77" t="s">
        <v>204</v>
      </c>
      <c r="B8" s="78">
        <f>'Exh. 1 Burton BS'!D22</f>
        <v>8536.5046964268295</v>
      </c>
      <c r="C8" s="78">
        <f>'Exh. 5 EE BS'!D17</f>
        <v>587.54467250611845</v>
      </c>
      <c r="D8" s="86">
        <f>C8+B8</f>
        <v>9124.0493689329487</v>
      </c>
      <c r="M8" s="64">
        <f>6867-C9</f>
        <v>5437.3955462140275</v>
      </c>
    </row>
    <row r="9" spans="1:13" x14ac:dyDescent="0.2">
      <c r="A9" s="77" t="s">
        <v>205</v>
      </c>
      <c r="B9" s="78">
        <f>'Exh. 1 Burton BS'!D24</f>
        <v>1545.47181533197</v>
      </c>
      <c r="C9" s="78">
        <f>'Exh. 5 EE BS'!D19</f>
        <v>1429.604453785973</v>
      </c>
      <c r="D9" s="86">
        <f>B9+6867</f>
        <v>8412.47181533197</v>
      </c>
      <c r="E9" s="64"/>
      <c r="M9" s="64"/>
    </row>
    <row r="10" spans="1:13" x14ac:dyDescent="0.2">
      <c r="A10" s="77" t="s">
        <v>206</v>
      </c>
      <c r="B10" s="78">
        <f>+B9+B8</f>
        <v>10081.976511758799</v>
      </c>
      <c r="C10" s="78">
        <f>+C9+C8</f>
        <v>2017.1491262920913</v>
      </c>
      <c r="D10" s="86">
        <f>D9+D8</f>
        <v>17536.521184264919</v>
      </c>
    </row>
    <row r="11" spans="1:13" x14ac:dyDescent="0.2">
      <c r="A11" s="77" t="s">
        <v>207</v>
      </c>
      <c r="B11" s="97">
        <v>1500</v>
      </c>
      <c r="C11" s="77"/>
      <c r="D11" s="98">
        <f>B11+(6867/4.75)</f>
        <v>2945.6842105263158</v>
      </c>
      <c r="E11" s="82"/>
    </row>
    <row r="12" spans="1:13" x14ac:dyDescent="0.2">
      <c r="F12" s="64"/>
    </row>
    <row r="16" spans="1:13" x14ac:dyDescent="0.2">
      <c r="D16" s="105" t="s">
        <v>208</v>
      </c>
      <c r="E16" s="105" t="s">
        <v>209</v>
      </c>
      <c r="F16" s="105" t="s">
        <v>210</v>
      </c>
    </row>
    <row r="17" spans="1:11" x14ac:dyDescent="0.2">
      <c r="A17" t="str">
        <f>A25</f>
        <v>Bank loan / (receivables + inventory)</v>
      </c>
      <c r="D17" s="106" t="s">
        <v>211</v>
      </c>
      <c r="E17" s="18">
        <f>'Exh. 1 Burton BS'!$D$16/('Exh. 1 Burton BS'!$D$6+'Exh. 1 Burton BS'!$D$7)</f>
        <v>0.96387822450873428</v>
      </c>
      <c r="F17" s="108">
        <f>('Exh. 1 Burton BS'!D16+'Exh. 5 EE BS'!D14)/('Exh. 1 Burton BS'!D6+'Exh. 1 Burton BS'!D7+'Exh. 5 EE BS'!D6+'Exh. 5 EE BS'!D7)</f>
        <v>0.82718215604087764</v>
      </c>
      <c r="G17" t="s">
        <v>212</v>
      </c>
    </row>
    <row r="18" spans="1:11" x14ac:dyDescent="0.2">
      <c r="A18" t="str">
        <f>A26</f>
        <v>Liabilities / book equity</v>
      </c>
      <c r="D18" s="107" t="s">
        <v>213</v>
      </c>
      <c r="E18" s="19">
        <f>'Exh. 1 Burton BS'!$D$22/'Exh. 1 Burton BS'!$D$24</f>
        <v>5.5235589622145094</v>
      </c>
      <c r="F18" s="124">
        <f>('Exh. 1 Burton BS'!D22+'Exh. 5 EE BS'!D17)/('Exh. 1 Burton BS'!D24+6867+'Exh. 5 EE BS'!D19-C9)</f>
        <v>1.0845860252754853</v>
      </c>
      <c r="G18" t="s">
        <v>212</v>
      </c>
    </row>
    <row r="19" spans="1:11" x14ac:dyDescent="0.2">
      <c r="A19" t="str">
        <f>A27</f>
        <v>Total interest-bearing debt / book equity</v>
      </c>
      <c r="D19" s="107" t="s">
        <v>214</v>
      </c>
      <c r="E19" s="20">
        <f>('Exh. 1 Burton BS'!$D$16+'Exh. 1 Burton BS'!$D$18+'Exh. 1 Burton BS'!$D$21)/'Exh. 1 Burton BS'!$D$24</f>
        <v>4.1476007109344284</v>
      </c>
      <c r="F19" s="110">
        <f>('Exh. 1 Burton BS'!D16+'Exh. 1 Burton BS'!D18+'Exh. 5 EE BS'!D14+'Exh. 1 Burton BS'!D21)/('Exh. 1 Burton BS'!D24+6867)</f>
        <v>0.79888529168698252</v>
      </c>
      <c r="G19" t="s">
        <v>215</v>
      </c>
    </row>
    <row r="22" spans="1:11" x14ac:dyDescent="0.2">
      <c r="J22">
        <f>450000*3.5</f>
        <v>1575000</v>
      </c>
      <c r="K22">
        <f>1575</f>
        <v>1575</v>
      </c>
    </row>
    <row r="23" spans="1:11" x14ac:dyDescent="0.2">
      <c r="J23">
        <f>50000*3.5</f>
        <v>175000</v>
      </c>
    </row>
    <row r="24" spans="1:11" x14ac:dyDescent="0.2">
      <c r="D24" s="105" t="s">
        <v>208</v>
      </c>
      <c r="E24" s="105" t="s">
        <v>216</v>
      </c>
      <c r="F24" s="105" t="s">
        <v>210</v>
      </c>
      <c r="J24">
        <f>J23+J22</f>
        <v>1750000</v>
      </c>
      <c r="K24">
        <f>1750</f>
        <v>1750</v>
      </c>
    </row>
    <row r="25" spans="1:11" x14ac:dyDescent="0.2">
      <c r="A25" t="str">
        <f>'Exh. 1 Burton BS'!A27</f>
        <v>Bank loan / (receivables + inventory)</v>
      </c>
      <c r="D25" s="106" t="s">
        <v>211</v>
      </c>
      <c r="E25" s="18">
        <f>'Exh. 1 Burton BS'!$D$16/('Exh. 1 Burton BS'!$D$6+'Exh. 1 Burton BS'!$D$7)</f>
        <v>0.96387822450873428</v>
      </c>
      <c r="F25" s="108">
        <f>('Exh. 1 Burton BS'!D16-'Burton M&amp;A Deals'!K22)/('Exh. 1 Burton BS'!D6+'Exh. 1 Burton BS'!D7)</f>
        <v>0.63241355123335075</v>
      </c>
      <c r="G25" t="s">
        <v>212</v>
      </c>
    </row>
    <row r="26" spans="1:11" x14ac:dyDescent="0.2">
      <c r="A26" t="str">
        <f>'Exh. 1 Burton BS'!A28</f>
        <v>Liabilities / book equity</v>
      </c>
      <c r="D26" s="107" t="s">
        <v>213</v>
      </c>
      <c r="E26" s="19">
        <f>'Exh. 1 Burton BS'!$D$22/'Exh. 1 Burton BS'!$D$24</f>
        <v>5.5235589622145094</v>
      </c>
      <c r="F26" s="109">
        <f>('Exh. 1 Burton BS'!D22-'Burton M&amp;A Deals'!K22)/('Burton M&amp;A Deals'!K24+'Exh. 1 Burton BS'!D24)</f>
        <v>2.1124455272349403</v>
      </c>
      <c r="G26" t="s">
        <v>212</v>
      </c>
    </row>
    <row r="27" spans="1:11" x14ac:dyDescent="0.2">
      <c r="A27" t="str">
        <f>'Exh. 1 Burton BS'!A29</f>
        <v>Total interest-bearing debt / book equity</v>
      </c>
      <c r="D27" s="107" t="s">
        <v>214</v>
      </c>
      <c r="E27" s="20">
        <f>('Exh. 1 Burton BS'!$D$16+'Exh. 1 Burton BS'!$D$18+'Exh. 1 Burton BS'!$D$21)/'Exh. 1 Burton BS'!$D$24</f>
        <v>4.1476007109344284</v>
      </c>
      <c r="F27" s="110">
        <f>('Exh. 1 Burton BS'!D16+'Exh. 1 Burton BS'!D18+'Exh. 1 Burton BS'!D21-'Burton M&amp;A Deals'!K22)/('Exh. 1 Burton BS'!D24+'Burton M&amp;A Deals'!K24)</f>
        <v>1.4671647250950455</v>
      </c>
      <c r="G27" t="s">
        <v>215</v>
      </c>
    </row>
    <row r="34" spans="1:16" x14ac:dyDescent="0.2">
      <c r="D34" s="105" t="s">
        <v>208</v>
      </c>
      <c r="E34" s="105" t="s">
        <v>216</v>
      </c>
      <c r="F34" s="105" t="s">
        <v>210</v>
      </c>
      <c r="J34">
        <v>1250000</v>
      </c>
      <c r="K34">
        <v>1250</v>
      </c>
    </row>
    <row r="35" spans="1:16" x14ac:dyDescent="0.2">
      <c r="A35" t="str">
        <f>A25</f>
        <v>Bank loan / (receivables + inventory)</v>
      </c>
      <c r="D35" s="106" t="s">
        <v>211</v>
      </c>
      <c r="E35" s="18">
        <f>'Exh. 1 Burton BS'!$D$16/('Exh. 1 Burton BS'!$D$6+'Exh. 1 Burton BS'!$D$7)</f>
        <v>0.96387822450873428</v>
      </c>
      <c r="F35" s="108">
        <f>('Exh. 1 Burton BS'!D16+'Burton M&amp;A Deals'!K34)/('Exh. 1 Burton BS'!D6+'Exh. 1 Burton BS'!D7+K35)</f>
        <v>1.0793023239843456</v>
      </c>
      <c r="G35" t="s">
        <v>212</v>
      </c>
      <c r="J35">
        <v>650000</v>
      </c>
      <c r="K35">
        <v>650</v>
      </c>
    </row>
    <row r="36" spans="1:16" x14ac:dyDescent="0.2">
      <c r="A36" t="str">
        <f t="shared" ref="A36:A37" si="0">A26</f>
        <v>Liabilities / book equity</v>
      </c>
      <c r="D36" s="107" t="s">
        <v>213</v>
      </c>
      <c r="E36" s="19">
        <f>'Exh. 1 Burton BS'!$D$22/'Exh. 1 Burton BS'!$D$24</f>
        <v>5.5235589622145094</v>
      </c>
      <c r="F36" s="109">
        <f>(K34+'Exh. 1 Burton BS'!D22)/('Exh. 1 Burton BS'!D24)</f>
        <v>6.3323734534263707</v>
      </c>
      <c r="G36" t="s">
        <v>212</v>
      </c>
      <c r="K36">
        <v>600</v>
      </c>
    </row>
    <row r="37" spans="1:16" x14ac:dyDescent="0.2">
      <c r="A37" t="str">
        <f t="shared" si="0"/>
        <v>Total interest-bearing debt / book equity</v>
      </c>
      <c r="D37" s="107" t="s">
        <v>214</v>
      </c>
      <c r="E37" s="20">
        <f>('Exh. 1 Burton BS'!$D$16+'Exh. 1 Burton BS'!$D$18+'Exh. 1 Burton BS'!$D$21)/'Exh. 1 Burton BS'!$D$24</f>
        <v>4.1476007109344284</v>
      </c>
      <c r="F37" s="110">
        <f>(K34+'Exh. 1 Burton BS'!D16+'Exh. 1 Burton BS'!D18+'Exh. 1 Burton BS'!D21)/'Exh. 1 Burton BS'!D24</f>
        <v>4.9564152021462897</v>
      </c>
      <c r="G37" t="s">
        <v>215</v>
      </c>
    </row>
    <row r="40" spans="1:16" x14ac:dyDescent="0.2">
      <c r="K40">
        <v>10543.43</v>
      </c>
    </row>
    <row r="41" spans="1:16" x14ac:dyDescent="0.2">
      <c r="K41" s="125">
        <v>2.96</v>
      </c>
    </row>
    <row r="42" spans="1:16" x14ac:dyDescent="0.2">
      <c r="K42" s="88">
        <v>9.6600000000000005E-2</v>
      </c>
    </row>
    <row r="43" spans="1:16" x14ac:dyDescent="0.2">
      <c r="K43" s="88"/>
    </row>
    <row r="44" spans="1:16" x14ac:dyDescent="0.2">
      <c r="A44" s="77" t="s">
        <v>217</v>
      </c>
      <c r="B44" s="111">
        <v>3.5</v>
      </c>
      <c r="C44" t="s">
        <v>218</v>
      </c>
    </row>
    <row r="45" spans="1:16" x14ac:dyDescent="0.2">
      <c r="A45" s="77" t="s">
        <v>219</v>
      </c>
      <c r="B45" s="126">
        <f>K41</f>
        <v>2.96</v>
      </c>
      <c r="C45" t="s">
        <v>218</v>
      </c>
      <c r="D45" s="121" t="s">
        <v>220</v>
      </c>
      <c r="E45" s="121"/>
      <c r="F45" s="121"/>
      <c r="G45" s="121"/>
      <c r="H45" s="121"/>
      <c r="I45" s="121"/>
      <c r="J45" s="121"/>
      <c r="K45" s="121"/>
      <c r="L45" s="121"/>
      <c r="M45" s="121"/>
      <c r="N45" s="121"/>
      <c r="O45" s="121"/>
      <c r="P45" s="121"/>
    </row>
    <row r="46" spans="1:16" x14ac:dyDescent="0.2">
      <c r="A46" s="77" t="s">
        <v>221</v>
      </c>
      <c r="B46" s="229">
        <f>(B44-B45)*450-(50*B45)</f>
        <v>95.000000000000028</v>
      </c>
      <c r="C46" t="s">
        <v>222</v>
      </c>
      <c r="D46" s="121" t="s">
        <v>223</v>
      </c>
      <c r="E46" s="121"/>
      <c r="F46" s="121"/>
      <c r="G46" s="121"/>
      <c r="H46" s="121"/>
      <c r="I46" s="121"/>
      <c r="J46" s="121"/>
      <c r="K46" s="121"/>
      <c r="L46" s="121"/>
      <c r="M46" s="121"/>
      <c r="N46" s="121"/>
      <c r="O46" s="121"/>
      <c r="P46" s="121"/>
    </row>
    <row r="47" spans="1:16" x14ac:dyDescent="0.2">
      <c r="B47" s="228"/>
    </row>
    <row r="54" spans="1:13" x14ac:dyDescent="0.2">
      <c r="A54" s="77"/>
      <c r="B54" s="73" t="s">
        <v>224</v>
      </c>
      <c r="C54" s="73" t="s">
        <v>225</v>
      </c>
      <c r="J54" s="100">
        <v>1500000</v>
      </c>
      <c r="K54" s="100">
        <v>450000</v>
      </c>
      <c r="L54" s="100">
        <v>50000</v>
      </c>
      <c r="M54" s="127">
        <f>L54+K54+J54</f>
        <v>2000000</v>
      </c>
    </row>
    <row r="55" spans="1:13" x14ac:dyDescent="0.2">
      <c r="A55" s="77" t="s">
        <v>226</v>
      </c>
      <c r="B55" s="113">
        <f>J54/(J54+K54+L54)</f>
        <v>0.75</v>
      </c>
      <c r="C55" s="114" t="s">
        <v>227</v>
      </c>
      <c r="J55" s="100">
        <f>6867000/4.75</f>
        <v>1445684.2105263157</v>
      </c>
      <c r="K55" s="100"/>
      <c r="L55" s="100"/>
    </row>
    <row r="56" spans="1:13" x14ac:dyDescent="0.2">
      <c r="A56" s="77" t="s">
        <v>228</v>
      </c>
      <c r="B56" s="113">
        <f>J54/J56</f>
        <v>0.50921955403087482</v>
      </c>
      <c r="C56" s="113">
        <f>J55/J56</f>
        <v>0.49078044596912523</v>
      </c>
      <c r="J56" s="100">
        <f>J55+J54</f>
        <v>2945684.2105263155</v>
      </c>
      <c r="K56" s="100"/>
      <c r="L56" s="100"/>
    </row>
    <row r="57" spans="1:13" x14ac:dyDescent="0.2">
      <c r="A57" s="77" t="s">
        <v>229</v>
      </c>
      <c r="B57" s="113">
        <f>J54/J57</f>
        <v>0.43532718274576898</v>
      </c>
      <c r="C57" s="113">
        <f>J55/J57</f>
        <v>0.4195637563389748</v>
      </c>
      <c r="J57" s="100">
        <f>J56+K54+L54</f>
        <v>3445684.2105263155</v>
      </c>
      <c r="K57" s="100"/>
      <c r="L57" s="100"/>
    </row>
    <row r="62" spans="1:13" x14ac:dyDescent="0.2">
      <c r="A62" s="112">
        <f>NPV('Burton WACC'!B24,'Burton Thermowell'!$C$22:$I$22)-1250000</f>
        <v>678807.15772643453</v>
      </c>
      <c r="B62" t="s">
        <v>230</v>
      </c>
    </row>
    <row r="69" spans="1:8" x14ac:dyDescent="0.2">
      <c r="A69" s="133">
        <v>2021</v>
      </c>
      <c r="B69" t="s">
        <v>231</v>
      </c>
    </row>
    <row r="70" spans="1:8" x14ac:dyDescent="0.2">
      <c r="A70" t="s">
        <v>232</v>
      </c>
    </row>
    <row r="71" spans="1:8" x14ac:dyDescent="0.2">
      <c r="H71" s="82">
        <v>1250</v>
      </c>
    </row>
    <row r="72" spans="1:8" x14ac:dyDescent="0.2">
      <c r="B72">
        <v>2017</v>
      </c>
      <c r="C72">
        <v>2018</v>
      </c>
      <c r="D72">
        <v>2019</v>
      </c>
      <c r="E72">
        <v>2020</v>
      </c>
      <c r="F72">
        <v>2021</v>
      </c>
    </row>
    <row r="73" spans="1:8" x14ac:dyDescent="0.2">
      <c r="A73" t="s">
        <v>233</v>
      </c>
      <c r="B73" s="103">
        <v>-86</v>
      </c>
      <c r="C73" s="103">
        <v>242</v>
      </c>
      <c r="D73" s="103">
        <v>709</v>
      </c>
      <c r="E73" s="103">
        <v>845</v>
      </c>
      <c r="F73" s="103">
        <v>896</v>
      </c>
    </row>
    <row r="74" spans="1:8" x14ac:dyDescent="0.2">
      <c r="A74" t="s">
        <v>142</v>
      </c>
      <c r="B74" s="103">
        <f>'Exh. 2 Burton IS'!E12*(1-0.35)</f>
        <v>229.15750000000003</v>
      </c>
      <c r="C74" s="103">
        <f>'Exh. 2 Burton IS'!F12*(1-0.35)</f>
        <v>241.67000000000002</v>
      </c>
      <c r="D74" s="103">
        <f>'Exh. 2 Burton IS'!G12*(1-0.35)</f>
        <v>241.67000000000002</v>
      </c>
      <c r="E74" s="103">
        <f>'Exh. 2 Burton IS'!H12*(1-0.35)</f>
        <v>225.58250000000001</v>
      </c>
      <c r="F74" s="103">
        <f>'Exh. 2 Burton IS'!I12*(1-0.35)</f>
        <v>205.92000000000002</v>
      </c>
    </row>
    <row r="75" spans="1:8" ht="15" customHeight="1" x14ac:dyDescent="0.2">
      <c r="A75" t="s">
        <v>234</v>
      </c>
      <c r="B75" s="103">
        <f>B73-B74</f>
        <v>-315.15750000000003</v>
      </c>
      <c r="C75" s="103">
        <f t="shared" ref="C75:F75" si="1">C73-C74</f>
        <v>0.32999999999998408</v>
      </c>
      <c r="D75" s="103">
        <f t="shared" si="1"/>
        <v>467.33</v>
      </c>
      <c r="E75" s="103">
        <f t="shared" si="1"/>
        <v>619.41750000000002</v>
      </c>
      <c r="F75" s="103">
        <f t="shared" si="1"/>
        <v>690.07999999999993</v>
      </c>
    </row>
    <row r="76" spans="1:8" x14ac:dyDescent="0.2">
      <c r="A76" t="s">
        <v>235</v>
      </c>
      <c r="B76" s="103">
        <f>B75</f>
        <v>-315.15750000000003</v>
      </c>
      <c r="C76" s="103">
        <f>B76+C75</f>
        <v>-314.82750000000004</v>
      </c>
      <c r="D76" s="103">
        <f>C76+D75</f>
        <v>152.50249999999994</v>
      </c>
      <c r="E76" s="103">
        <f>D76+E75</f>
        <v>771.92</v>
      </c>
      <c r="F76" s="103">
        <f>E76+F75</f>
        <v>1462</v>
      </c>
    </row>
    <row r="77" spans="1:8" x14ac:dyDescent="0.2">
      <c r="B77" s="103"/>
      <c r="C77" s="103"/>
      <c r="D77" s="103"/>
      <c r="E77" s="103"/>
      <c r="F77" s="10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7C5C-69A6-4AAB-ACEA-6DFA969A3AE9}">
  <dimension ref="A6:Q85"/>
  <sheetViews>
    <sheetView zoomScale="116" workbookViewId="0">
      <selection activeCell="H18" sqref="H18"/>
    </sheetView>
  </sheetViews>
  <sheetFormatPr baseColWidth="10" defaultColWidth="8.83203125" defaultRowHeight="16" x14ac:dyDescent="0.2"/>
  <cols>
    <col min="1" max="1" width="21.33203125" customWidth="1"/>
    <col min="2" max="2" width="12.5" bestFit="1" customWidth="1"/>
    <col min="3" max="3" width="11.5" customWidth="1"/>
    <col min="4" max="6" width="10.1640625" bestFit="1" customWidth="1"/>
    <col min="7" max="7" width="10.33203125" bestFit="1" customWidth="1"/>
    <col min="8" max="8" width="19.6640625" bestFit="1" customWidth="1"/>
    <col min="9" max="9" width="31.1640625" customWidth="1"/>
    <col min="13" max="17" width="10.1640625" bestFit="1" customWidth="1"/>
  </cols>
  <sheetData>
    <row r="6" spans="1:3" x14ac:dyDescent="0.2">
      <c r="A6" t="s">
        <v>236</v>
      </c>
      <c r="B6" s="99">
        <f>H34/'Exh. 6 EE IS'!D18</f>
        <v>4.8373786164501027</v>
      </c>
      <c r="C6" t="s">
        <v>237</v>
      </c>
    </row>
    <row r="7" spans="1:3" x14ac:dyDescent="0.2">
      <c r="A7" t="s">
        <v>238</v>
      </c>
      <c r="B7" s="116">
        <f>+'Burton M&amp;A Deals'!B45</f>
        <v>2.96</v>
      </c>
      <c r="C7" t="s">
        <v>239</v>
      </c>
    </row>
    <row r="8" spans="1:3" x14ac:dyDescent="0.2">
      <c r="A8" t="s">
        <v>240</v>
      </c>
      <c r="B8" s="116">
        <f>10*('Exh. 6 EE IS'!$D$13+'Exh. 6 EE IS'!$D$12+'Exh. 6 EE IS'!$D$11)</f>
        <v>6866.59879184288</v>
      </c>
      <c r="C8" t="s">
        <v>241</v>
      </c>
    </row>
    <row r="9" spans="1:3" x14ac:dyDescent="0.2">
      <c r="A9" t="s">
        <v>242</v>
      </c>
      <c r="B9" s="116">
        <f>+B8/'Exh. 6 EE IS'!D18</f>
        <v>6.2423625380389822</v>
      </c>
      <c r="C9" t="s">
        <v>243</v>
      </c>
    </row>
    <row r="10" spans="1:3" x14ac:dyDescent="0.2">
      <c r="A10" t="s">
        <v>244</v>
      </c>
      <c r="B10" s="102">
        <v>4.75</v>
      </c>
      <c r="C10" t="s">
        <v>245</v>
      </c>
    </row>
    <row r="11" spans="1:3" x14ac:dyDescent="0.2">
      <c r="A11" t="s">
        <v>246</v>
      </c>
      <c r="B11" s="116">
        <f>+B8/B10</f>
        <v>1445.5997456511327</v>
      </c>
      <c r="C11" t="s">
        <v>247</v>
      </c>
    </row>
    <row r="12" spans="1:3" x14ac:dyDescent="0.2">
      <c r="A12" t="s">
        <v>248</v>
      </c>
      <c r="B12" s="118">
        <f>(B6-B9)*'Exh. 6 EE IS'!D18</f>
        <v>-1545.4823137477674</v>
      </c>
      <c r="C12" t="s">
        <v>249</v>
      </c>
    </row>
    <row r="13" spans="1:3" x14ac:dyDescent="0.2">
      <c r="A13" t="s">
        <v>250</v>
      </c>
      <c r="B13" s="118">
        <f>(B10-B7)*B11</f>
        <v>2587.6235447155277</v>
      </c>
      <c r="C13" t="s">
        <v>251</v>
      </c>
    </row>
    <row r="14" spans="1:3" x14ac:dyDescent="0.2">
      <c r="A14" t="s">
        <v>252</v>
      </c>
      <c r="B14" s="118">
        <f>+B13+B12</f>
        <v>1042.1412309677603</v>
      </c>
      <c r="C14" t="s">
        <v>253</v>
      </c>
    </row>
    <row r="15" spans="1:3" x14ac:dyDescent="0.2">
      <c r="A15" t="s">
        <v>254</v>
      </c>
      <c r="B15" s="118">
        <f>+B14-0.09*B8</f>
        <v>424.14733970190116</v>
      </c>
      <c r="C15" t="s">
        <v>255</v>
      </c>
    </row>
    <row r="17" spans="1:17" x14ac:dyDescent="0.2">
      <c r="A17" t="s">
        <v>256</v>
      </c>
      <c r="I17" s="103">
        <f>B8/10</f>
        <v>686.659879184288</v>
      </c>
    </row>
    <row r="19" spans="1:17" x14ac:dyDescent="0.2">
      <c r="A19" s="103"/>
    </row>
    <row r="20" spans="1:17" x14ac:dyDescent="0.2">
      <c r="B20" s="117"/>
    </row>
    <row r="25" spans="1:17" x14ac:dyDescent="0.2">
      <c r="B25">
        <v>2017</v>
      </c>
      <c r="C25">
        <v>2018</v>
      </c>
      <c r="D25">
        <v>2019</v>
      </c>
      <c r="E25">
        <v>2020</v>
      </c>
      <c r="F25">
        <v>2021</v>
      </c>
      <c r="I25" s="41"/>
      <c r="J25" s="51">
        <v>2014</v>
      </c>
      <c r="K25" s="51">
        <v>2015</v>
      </c>
      <c r="L25" s="51">
        <f>K25+1</f>
        <v>2016</v>
      </c>
      <c r="M25">
        <v>2017</v>
      </c>
      <c r="N25" s="24">
        <v>2018</v>
      </c>
      <c r="O25" s="24">
        <v>2019</v>
      </c>
      <c r="P25" s="24">
        <v>2020</v>
      </c>
      <c r="Q25" s="24">
        <v>2021</v>
      </c>
    </row>
    <row r="26" spans="1:17" x14ac:dyDescent="0.2">
      <c r="A26" t="s">
        <v>72</v>
      </c>
      <c r="B26" s="103">
        <f>M28-M30-M31-M33</f>
        <v>848.59648857262027</v>
      </c>
      <c r="C26" s="103">
        <f>N28-N30-N31-N33</f>
        <v>997.1008740728289</v>
      </c>
      <c r="D26" s="103">
        <f>O28-O30-O31-O33</f>
        <v>1146.6660051837532</v>
      </c>
      <c r="E26" s="103">
        <f>P28-P30-P31-P33</f>
        <v>1284.265925805804</v>
      </c>
      <c r="F26" s="103">
        <f>Q28-Q30-Q31-Q33</f>
        <v>1412.6925183863846</v>
      </c>
      <c r="I26" s="12" t="s">
        <v>257</v>
      </c>
      <c r="J26" s="28">
        <v>2944.9224000000004</v>
      </c>
      <c r="K26" s="28">
        <v>3566.3010264000009</v>
      </c>
      <c r="L26" s="28">
        <v>4072.7157721488006</v>
      </c>
      <c r="M26" s="103">
        <f>L26*(1+M45)</f>
        <v>5050.1675574645124</v>
      </c>
      <c r="N26" s="103">
        <f>M26*(1+N45)</f>
        <v>5933.9468800208024</v>
      </c>
      <c r="O26" s="103">
        <f>N26*(1+O45)</f>
        <v>6824.0389120239224</v>
      </c>
      <c r="P26" s="103">
        <f>O26*(1+P45)</f>
        <v>7642.9235814667936</v>
      </c>
      <c r="Q26" s="103">
        <f>P26*(1+Q45)</f>
        <v>8407.2159396134739</v>
      </c>
    </row>
    <row r="27" spans="1:17" x14ac:dyDescent="0.2">
      <c r="A27" t="s">
        <v>91</v>
      </c>
      <c r="B27" s="103">
        <f>B26*0.35</f>
        <v>297.00877100041708</v>
      </c>
      <c r="C27" s="103">
        <f t="shared" ref="C27:F27" si="0">C26*0.35</f>
        <v>348.98530592549008</v>
      </c>
      <c r="D27" s="103">
        <f t="shared" si="0"/>
        <v>401.33310181431358</v>
      </c>
      <c r="E27" s="103">
        <f t="shared" si="0"/>
        <v>449.49307403203136</v>
      </c>
      <c r="F27" s="103">
        <f t="shared" si="0"/>
        <v>494.44238143523455</v>
      </c>
      <c r="G27" t="s">
        <v>91</v>
      </c>
      <c r="H27" s="115">
        <v>0.35</v>
      </c>
      <c r="I27" s="9" t="s">
        <v>86</v>
      </c>
      <c r="J27" s="31">
        <v>1524.95616</v>
      </c>
      <c r="K27" s="31">
        <v>1811.6809214112004</v>
      </c>
      <c r="L27" s="31">
        <v>2085.2304753401859</v>
      </c>
      <c r="M27" s="103">
        <f>M26*M46</f>
        <v>2474.5821031576111</v>
      </c>
      <c r="N27" s="103">
        <f>N26*N46</f>
        <v>2907.6339712101931</v>
      </c>
      <c r="O27" s="103">
        <f>O26*O46</f>
        <v>3343.7790668917219</v>
      </c>
      <c r="P27" s="103">
        <f>P26*P46</f>
        <v>3745.0325549187287</v>
      </c>
      <c r="Q27" s="103">
        <f>Q26*Q46</f>
        <v>4119.5358104106017</v>
      </c>
    </row>
    <row r="28" spans="1:17" x14ac:dyDescent="0.2">
      <c r="A28" t="s">
        <v>102</v>
      </c>
      <c r="B28" s="103">
        <f>B26-B27</f>
        <v>551.58771757220325</v>
      </c>
      <c r="C28" s="103">
        <f t="shared" ref="C28:F28" si="1">C26-C27</f>
        <v>648.11556814733876</v>
      </c>
      <c r="D28" s="103">
        <f t="shared" si="1"/>
        <v>745.33290336943969</v>
      </c>
      <c r="E28" s="103">
        <f t="shared" si="1"/>
        <v>834.77285177377269</v>
      </c>
      <c r="F28" s="103">
        <f t="shared" si="1"/>
        <v>918.25013695115001</v>
      </c>
      <c r="I28" s="12" t="s">
        <v>258</v>
      </c>
      <c r="J28" s="28">
        <v>1419.9662400000004</v>
      </c>
      <c r="K28" s="28">
        <v>1754.6201049888004</v>
      </c>
      <c r="L28" s="28">
        <v>1987.4852968086147</v>
      </c>
      <c r="M28" s="103">
        <f>M26-M27</f>
        <v>2575.5854543069013</v>
      </c>
      <c r="N28" s="103">
        <f t="shared" ref="N28:Q28" si="2">N26-N27</f>
        <v>3026.3129088106093</v>
      </c>
      <c r="O28" s="103">
        <f t="shared" si="2"/>
        <v>3480.2598451322006</v>
      </c>
      <c r="P28" s="103">
        <f t="shared" si="2"/>
        <v>3897.8910265480649</v>
      </c>
      <c r="Q28" s="103">
        <f t="shared" si="2"/>
        <v>4287.6801292028722</v>
      </c>
    </row>
    <row r="29" spans="1:17" x14ac:dyDescent="0.2">
      <c r="A29" s="128" t="s">
        <v>259</v>
      </c>
      <c r="B29" s="103">
        <f>+M33</f>
        <v>259.41027353509372</v>
      </c>
      <c r="C29" s="103">
        <f t="shared" ref="C29:F29" si="3">+N33</f>
        <v>304.80707140373511</v>
      </c>
      <c r="D29" s="103">
        <f t="shared" si="3"/>
        <v>350.52813211429537</v>
      </c>
      <c r="E29" s="103">
        <f t="shared" si="3"/>
        <v>392.59150796801083</v>
      </c>
      <c r="F29" s="103">
        <f t="shared" si="3"/>
        <v>431.85065876481195</v>
      </c>
      <c r="I29" s="12"/>
      <c r="J29" s="12"/>
      <c r="K29" s="12"/>
      <c r="L29" s="12"/>
      <c r="M29" s="103"/>
      <c r="N29" s="103"/>
      <c r="O29" s="103"/>
      <c r="P29" s="103"/>
      <c r="Q29" s="103"/>
    </row>
    <row r="30" spans="1:17" x14ac:dyDescent="0.2">
      <c r="A30" s="128" t="s">
        <v>104</v>
      </c>
      <c r="B30" s="103">
        <f>M78</f>
        <v>410.41028350328264</v>
      </c>
      <c r="C30" s="103">
        <f t="shared" ref="C30:F30" si="4">N78</f>
        <v>482.2320831163571</v>
      </c>
      <c r="D30" s="103">
        <f t="shared" si="4"/>
        <v>554.56689558381072</v>
      </c>
      <c r="E30" s="103">
        <f t="shared" si="4"/>
        <v>621.11492305386798</v>
      </c>
      <c r="F30" s="103">
        <f t="shared" si="4"/>
        <v>683.22641535925482</v>
      </c>
      <c r="I30" s="12" t="s">
        <v>260</v>
      </c>
      <c r="J30" s="28">
        <v>814.86002808000012</v>
      </c>
      <c r="K30" s="28">
        <v>930.09130768512034</v>
      </c>
      <c r="L30" s="28">
        <v>1080.8987659282916</v>
      </c>
      <c r="M30" s="103">
        <f>M26*M47</f>
        <v>1204.9699792110328</v>
      </c>
      <c r="N30" s="103">
        <f>N26*N47</f>
        <v>1415.8397255729635</v>
      </c>
      <c r="O30" s="103">
        <f>O26*O47</f>
        <v>1628.2156844089079</v>
      </c>
      <c r="P30" s="103">
        <f>P26*P47</f>
        <v>1823.6015665379771</v>
      </c>
      <c r="Q30" s="103">
        <f>Q26*Q47</f>
        <v>2005.961723191775</v>
      </c>
    </row>
    <row r="31" spans="1:17" x14ac:dyDescent="0.2">
      <c r="A31" s="128" t="s">
        <v>261</v>
      </c>
      <c r="B31" s="103">
        <f>C43-B43</f>
        <v>332.2092495943366</v>
      </c>
      <c r="C31" s="103">
        <f>D43-C43</f>
        <v>278.70780808382074</v>
      </c>
      <c r="D31" s="103">
        <f>E43-D43</f>
        <v>280.69857814156103</v>
      </c>
      <c r="E31" s="103">
        <f>F43-E43</f>
        <v>258.24269189023744</v>
      </c>
      <c r="F31" s="103">
        <f>G43-F43</f>
        <v>241.02651243088758</v>
      </c>
      <c r="I31" s="12" t="s">
        <v>262</v>
      </c>
      <c r="J31" s="28">
        <v>153.13596480000001</v>
      </c>
      <c r="K31" s="28">
        <v>178.31505132000007</v>
      </c>
      <c r="L31" s="28">
        <v>219.92665169603524</v>
      </c>
      <c r="M31" s="103">
        <f>M48*M26</f>
        <v>262.60871298815465</v>
      </c>
      <c r="N31" s="103">
        <f>N48*N26</f>
        <v>308.56523776108173</v>
      </c>
      <c r="O31" s="103">
        <f>O48*O26</f>
        <v>354.85002342524393</v>
      </c>
      <c r="P31" s="103">
        <f>P48*P26</f>
        <v>397.43202623627326</v>
      </c>
      <c r="Q31" s="103">
        <f>Q48*Q26</f>
        <v>437.17522885990064</v>
      </c>
    </row>
    <row r="32" spans="1:17" x14ac:dyDescent="0.2">
      <c r="A32" s="128" t="s">
        <v>107</v>
      </c>
      <c r="B32" s="103"/>
      <c r="C32" s="103"/>
      <c r="D32" s="103"/>
      <c r="E32" s="103"/>
      <c r="F32" s="103">
        <f>B8</f>
        <v>6866.59879184288</v>
      </c>
      <c r="I32" s="12"/>
      <c r="J32" s="28"/>
      <c r="K32" s="28"/>
      <c r="L32" s="28"/>
      <c r="M32" s="103"/>
      <c r="N32" s="103"/>
      <c r="O32" s="103"/>
      <c r="P32" s="103"/>
      <c r="Q32" s="103"/>
    </row>
    <row r="33" spans="1:17" x14ac:dyDescent="0.2">
      <c r="A33" s="128" t="s">
        <v>106</v>
      </c>
      <c r="B33" s="103">
        <f>B28+B29-B30-B31</f>
        <v>68.378458009677672</v>
      </c>
      <c r="C33" s="103">
        <f>C28+C29-C30-C31</f>
        <v>191.98274835089603</v>
      </c>
      <c r="D33" s="103">
        <f>D28+D29-D30-D31</f>
        <v>260.59556175836337</v>
      </c>
      <c r="E33" s="103">
        <f>E28+E29-E30-E31</f>
        <v>348.00674479767815</v>
      </c>
      <c r="F33" s="103">
        <f>F28+F29-F30-F31</f>
        <v>425.84786792581963</v>
      </c>
      <c r="I33" s="12" t="s">
        <v>263</v>
      </c>
      <c r="J33" s="28">
        <v>142.23975192</v>
      </c>
      <c r="K33" s="28">
        <v>196.85981665728002</v>
      </c>
      <c r="L33" s="28">
        <v>206.07941807072928</v>
      </c>
      <c r="M33" s="103">
        <f>M26*M49</f>
        <v>259.41027353509372</v>
      </c>
      <c r="N33" s="103">
        <f>N26*N49</f>
        <v>304.80707140373511</v>
      </c>
      <c r="O33" s="103">
        <f>O26*O49</f>
        <v>350.52813211429537</v>
      </c>
      <c r="P33" s="103">
        <f>P26*P49</f>
        <v>392.59150796801083</v>
      </c>
      <c r="Q33" s="103">
        <f>Q26*Q49</f>
        <v>431.85065876481195</v>
      </c>
    </row>
    <row r="34" spans="1:17" x14ac:dyDescent="0.2">
      <c r="A34" s="128" t="s">
        <v>264</v>
      </c>
      <c r="B34" s="103">
        <f>B33</f>
        <v>68.378458009677672</v>
      </c>
      <c r="C34" s="103">
        <f t="shared" ref="C34:E34" si="5">C33</f>
        <v>191.98274835089603</v>
      </c>
      <c r="D34" s="103">
        <f t="shared" si="5"/>
        <v>260.59556175836337</v>
      </c>
      <c r="E34" s="103">
        <f t="shared" si="5"/>
        <v>348.00674479767815</v>
      </c>
      <c r="F34" s="103">
        <f>F33+F32</f>
        <v>7292.4466597686996</v>
      </c>
      <c r="G34" t="s">
        <v>265</v>
      </c>
      <c r="H34" s="125">
        <f>NPV(B49,B34:F34)</f>
        <v>5321.1164780951131</v>
      </c>
      <c r="I34" s="9" t="s">
        <v>266</v>
      </c>
      <c r="J34" s="31">
        <v>18.733000000000001</v>
      </c>
      <c r="K34" s="31">
        <v>18.733000000000001</v>
      </c>
      <c r="L34" s="31">
        <v>18.733000000000001</v>
      </c>
      <c r="M34" s="31">
        <v>18.733000000000001</v>
      </c>
      <c r="N34" s="31">
        <v>18.733000000000001</v>
      </c>
      <c r="O34" s="31">
        <v>18.733000000000001</v>
      </c>
      <c r="P34" s="31">
        <v>18.733000000000001</v>
      </c>
      <c r="Q34" s="31">
        <v>18.733000000000001</v>
      </c>
    </row>
    <row r="35" spans="1:17" x14ac:dyDescent="0.2">
      <c r="A35" s="128"/>
      <c r="B35" s="103"/>
      <c r="C35" s="103"/>
      <c r="D35" s="103"/>
      <c r="E35" s="103"/>
      <c r="F35" s="103"/>
      <c r="I35" s="12"/>
      <c r="J35" s="28"/>
      <c r="K35" s="28"/>
      <c r="L35" s="28"/>
      <c r="M35" s="28"/>
      <c r="N35" s="28"/>
      <c r="O35" s="28"/>
      <c r="P35" s="28"/>
      <c r="Q35" s="28"/>
    </row>
    <row r="36" spans="1:17" x14ac:dyDescent="0.2">
      <c r="A36" s="128" t="s">
        <v>132</v>
      </c>
      <c r="B36">
        <v>2016</v>
      </c>
      <c r="C36">
        <v>2017</v>
      </c>
      <c r="D36">
        <v>2018</v>
      </c>
      <c r="E36">
        <v>2019</v>
      </c>
      <c r="F36">
        <v>2020</v>
      </c>
      <c r="G36">
        <v>2021</v>
      </c>
      <c r="I36" s="12" t="s">
        <v>267</v>
      </c>
      <c r="J36" s="28">
        <v>290.99749520000023</v>
      </c>
      <c r="K36" s="28">
        <v>430.62092932639985</v>
      </c>
      <c r="L36" s="28">
        <v>461.84746111355867</v>
      </c>
      <c r="M36" s="103"/>
      <c r="N36" s="103"/>
      <c r="O36" s="103"/>
      <c r="P36" s="103"/>
      <c r="Q36" s="103"/>
    </row>
    <row r="37" spans="1:17" x14ac:dyDescent="0.2">
      <c r="A37" s="128" t="s">
        <v>268</v>
      </c>
      <c r="B37" s="103">
        <f t="shared" ref="B37:G37" si="6">L53</f>
        <v>359.75383404262999</v>
      </c>
      <c r="C37" s="103">
        <f t="shared" si="6"/>
        <v>530.70029689842568</v>
      </c>
      <c r="D37" s="103">
        <f t="shared" si="6"/>
        <v>623.57284885565014</v>
      </c>
      <c r="E37" s="103">
        <f t="shared" si="6"/>
        <v>717.10877618399763</v>
      </c>
      <c r="F37" s="103">
        <f t="shared" si="6"/>
        <v>803.1618293260774</v>
      </c>
      <c r="G37" s="103">
        <f t="shared" si="6"/>
        <v>883.47801225868523</v>
      </c>
      <c r="I37" s="12"/>
      <c r="J37" s="33"/>
      <c r="K37" s="33"/>
      <c r="L37" s="33"/>
      <c r="M37" s="103"/>
      <c r="N37" s="103"/>
      <c r="O37" s="103"/>
      <c r="P37" s="103"/>
      <c r="Q37" s="103"/>
    </row>
    <row r="38" spans="1:17" x14ac:dyDescent="0.2">
      <c r="A38" s="128" t="s">
        <v>269</v>
      </c>
      <c r="B38" s="103">
        <f t="shared" ref="B38:G39" si="7">L55</f>
        <v>480.58046111355844</v>
      </c>
      <c r="C38" s="103">
        <f t="shared" si="7"/>
        <v>553.83504213527488</v>
      </c>
      <c r="D38" s="103">
        <f t="shared" si="7"/>
        <v>650.75617450894811</v>
      </c>
      <c r="E38" s="103">
        <f t="shared" si="7"/>
        <v>748.36960068529027</v>
      </c>
      <c r="F38" s="103">
        <f t="shared" si="7"/>
        <v>838.17395276752507</v>
      </c>
      <c r="G38" s="103">
        <f t="shared" si="7"/>
        <v>921.99134804427774</v>
      </c>
      <c r="I38" s="9" t="s">
        <v>270</v>
      </c>
      <c r="J38" s="31">
        <v>101.84912332000007</v>
      </c>
      <c r="K38" s="31">
        <v>150.71732526423995</v>
      </c>
      <c r="L38" s="31">
        <v>161.64661138974552</v>
      </c>
      <c r="M38" s="103"/>
      <c r="N38" s="103"/>
      <c r="O38" s="103"/>
      <c r="P38" s="103"/>
      <c r="Q38" s="103"/>
    </row>
    <row r="39" spans="1:17" x14ac:dyDescent="0.2">
      <c r="A39" s="128" t="s">
        <v>271</v>
      </c>
      <c r="B39" s="103">
        <f t="shared" si="7"/>
        <v>16.873639999999998</v>
      </c>
      <c r="C39" s="103">
        <f t="shared" si="7"/>
        <v>25.274586440876259</v>
      </c>
      <c r="D39" s="103">
        <f t="shared" si="7"/>
        <v>29.697639068029609</v>
      </c>
      <c r="E39" s="103">
        <f t="shared" si="7"/>
        <v>34.152284928234046</v>
      </c>
      <c r="F39" s="103">
        <f t="shared" si="7"/>
        <v>38.250559119622139</v>
      </c>
      <c r="G39" s="103">
        <f t="shared" si="7"/>
        <v>42.075615031584356</v>
      </c>
      <c r="I39" s="12" t="s">
        <v>272</v>
      </c>
      <c r="J39" s="28">
        <v>189.14837188000016</v>
      </c>
      <c r="K39" s="28">
        <v>279.9036040621599</v>
      </c>
      <c r="L39" s="28">
        <v>300.20084972381312</v>
      </c>
      <c r="M39" s="103"/>
      <c r="N39" s="103"/>
      <c r="O39" s="103"/>
      <c r="P39" s="103"/>
      <c r="Q39" s="103"/>
    </row>
    <row r="40" spans="1:17" x14ac:dyDescent="0.2">
      <c r="A40" s="128" t="s">
        <v>110</v>
      </c>
      <c r="B40" s="103">
        <f t="shared" ref="B40:G40" si="8">L54</f>
        <v>680.14353394884995</v>
      </c>
      <c r="C40" s="103">
        <f t="shared" si="8"/>
        <v>838.32781453910923</v>
      </c>
      <c r="D40" s="103">
        <f t="shared" si="8"/>
        <v>985.03518208345338</v>
      </c>
      <c r="E40" s="103">
        <f t="shared" si="8"/>
        <v>1132.7904593959713</v>
      </c>
      <c r="F40" s="103">
        <f t="shared" si="8"/>
        <v>1268.7253145234881</v>
      </c>
      <c r="G40" s="103">
        <f t="shared" si="8"/>
        <v>1395.5978459758369</v>
      </c>
      <c r="I40" s="12"/>
      <c r="J40" s="33"/>
      <c r="K40" s="33"/>
      <c r="L40" s="33"/>
      <c r="M40" s="103"/>
      <c r="N40" s="103"/>
      <c r="O40" s="103"/>
      <c r="P40" s="103"/>
      <c r="Q40" s="103"/>
    </row>
    <row r="41" spans="1:17" x14ac:dyDescent="0.2">
      <c r="A41" s="128" t="s">
        <v>273</v>
      </c>
      <c r="B41" s="103">
        <f t="shared" ref="B41:G42" si="9">L63</f>
        <v>175.12677820239841</v>
      </c>
      <c r="C41" s="103">
        <f t="shared" si="9"/>
        <v>217.15720497097405</v>
      </c>
      <c r="D41" s="103">
        <f t="shared" si="9"/>
        <v>255.15971584089453</v>
      </c>
      <c r="E41" s="103">
        <f t="shared" si="9"/>
        <v>293.43367321702868</v>
      </c>
      <c r="F41" s="103">
        <f t="shared" si="9"/>
        <v>328.64571400307216</v>
      </c>
      <c r="G41" s="103">
        <f t="shared" si="9"/>
        <v>361.51028540337938</v>
      </c>
      <c r="I41" s="12" t="s">
        <v>274</v>
      </c>
      <c r="J41" s="33">
        <v>1100</v>
      </c>
      <c r="K41" s="33">
        <v>1100</v>
      </c>
      <c r="L41" s="33">
        <v>1100</v>
      </c>
      <c r="M41" s="103"/>
      <c r="N41" s="103"/>
      <c r="O41" s="103"/>
      <c r="P41" s="103"/>
      <c r="Q41" s="103"/>
    </row>
    <row r="42" spans="1:17" x14ac:dyDescent="0.2">
      <c r="A42" s="128" t="s">
        <v>275</v>
      </c>
      <c r="B42" s="103">
        <f t="shared" si="9"/>
        <v>101.81789430372002</v>
      </c>
      <c r="C42" s="103">
        <f t="shared" si="9"/>
        <v>138.36448884945494</v>
      </c>
      <c r="D42" s="103">
        <f t="shared" si="9"/>
        <v>162.57827439810956</v>
      </c>
      <c r="E42" s="103">
        <f t="shared" si="9"/>
        <v>186.96501555782598</v>
      </c>
      <c r="F42" s="103">
        <f t="shared" si="9"/>
        <v>209.40081742476511</v>
      </c>
      <c r="G42" s="103">
        <f t="shared" si="9"/>
        <v>230.34089916724164</v>
      </c>
      <c r="I42" s="12" t="s">
        <v>276</v>
      </c>
      <c r="J42" s="34">
        <f>J39/J41</f>
        <v>0.17195306534545468</v>
      </c>
      <c r="K42" s="34">
        <f>K39/K41</f>
        <v>0.25445782187469079</v>
      </c>
      <c r="L42" s="34">
        <f>L39/L41</f>
        <v>0.27290986338528467</v>
      </c>
      <c r="M42" s="103"/>
      <c r="N42" s="103"/>
      <c r="O42" s="103"/>
      <c r="P42" s="103"/>
      <c r="Q42" s="103"/>
    </row>
    <row r="43" spans="1:17" x14ac:dyDescent="0.2">
      <c r="A43" s="128" t="s">
        <v>132</v>
      </c>
      <c r="B43" s="103">
        <f t="shared" ref="B43:G43" si="10">B37+B38+B39+B40-B41-B42</f>
        <v>1260.40679659892</v>
      </c>
      <c r="C43" s="103">
        <f t="shared" si="10"/>
        <v>1592.6160461932566</v>
      </c>
      <c r="D43" s="103">
        <f t="shared" si="10"/>
        <v>1871.3238542770773</v>
      </c>
      <c r="E43" s="103">
        <f t="shared" si="10"/>
        <v>2152.0224324186383</v>
      </c>
      <c r="F43" s="103">
        <f t="shared" si="10"/>
        <v>2410.2651243088758</v>
      </c>
      <c r="G43" s="103">
        <f t="shared" si="10"/>
        <v>2651.2916367397634</v>
      </c>
      <c r="I43" s="9" t="s">
        <v>277</v>
      </c>
      <c r="J43" s="31">
        <v>0</v>
      </c>
      <c r="K43" s="31">
        <v>0</v>
      </c>
      <c r="L43" s="31">
        <v>0</v>
      </c>
      <c r="M43" s="103"/>
      <c r="N43" s="103"/>
      <c r="O43" s="103"/>
      <c r="P43" s="103"/>
      <c r="Q43" s="103"/>
    </row>
    <row r="44" spans="1:17" x14ac:dyDescent="0.2">
      <c r="A44" s="128"/>
      <c r="M44" s="103"/>
      <c r="N44" s="103"/>
      <c r="O44" s="103"/>
      <c r="P44" s="103"/>
      <c r="Q44" s="103"/>
    </row>
    <row r="45" spans="1:17" x14ac:dyDescent="0.2">
      <c r="A45" s="128" t="s">
        <v>278</v>
      </c>
      <c r="B45">
        <f>'Burton WACC'!B18</f>
        <v>1.1021756954495425</v>
      </c>
      <c r="I45" s="134" t="s">
        <v>279</v>
      </c>
      <c r="J45" s="135"/>
      <c r="K45" s="135"/>
      <c r="L45" s="135"/>
      <c r="M45" s="136">
        <v>0.24</v>
      </c>
      <c r="N45" s="137">
        <v>0.17499999999999999</v>
      </c>
      <c r="O45" s="136">
        <v>0.15</v>
      </c>
      <c r="P45" s="136">
        <v>0.12</v>
      </c>
      <c r="Q45" s="136">
        <v>0.1</v>
      </c>
    </row>
    <row r="46" spans="1:17" x14ac:dyDescent="0.2">
      <c r="A46" s="128" t="s">
        <v>115</v>
      </c>
      <c r="B46" s="103">
        <f>'Exh. 5 EE BS'!D14-'Exh. 5 EE BS'!D5</f>
        <v>-49.153834042629967</v>
      </c>
      <c r="I46" s="134" t="s">
        <v>280</v>
      </c>
      <c r="J46" s="135"/>
      <c r="K46" s="135"/>
      <c r="L46" s="135">
        <f>L27/L26</f>
        <v>0.51200000000000001</v>
      </c>
      <c r="M46" s="136">
        <v>0.49</v>
      </c>
      <c r="N46" s="136">
        <v>0.49</v>
      </c>
      <c r="O46" s="136">
        <v>0.49</v>
      </c>
      <c r="P46" s="136">
        <v>0.49</v>
      </c>
      <c r="Q46" s="136">
        <v>0.49</v>
      </c>
    </row>
    <row r="47" spans="1:17" x14ac:dyDescent="0.2">
      <c r="A47" s="128" t="s">
        <v>281</v>
      </c>
      <c r="B47" s="103">
        <f>B8+'Exh. 5 EE BS'!D5-'Exh. 5 EE BS'!D14</f>
        <v>6915.7526258855096</v>
      </c>
      <c r="I47" s="134" t="s">
        <v>282</v>
      </c>
      <c r="J47" s="135"/>
      <c r="K47" s="135"/>
      <c r="L47" s="135">
        <f>L30/L26</f>
        <v>0.26539999999999997</v>
      </c>
      <c r="M47" s="137">
        <v>0.23860000000000001</v>
      </c>
      <c r="N47" s="137">
        <v>0.23860000000000001</v>
      </c>
      <c r="O47" s="137">
        <v>0.23860000000000001</v>
      </c>
      <c r="P47" s="137">
        <v>0.23860000000000001</v>
      </c>
      <c r="Q47" s="137">
        <v>0.23860000000000001</v>
      </c>
    </row>
    <row r="48" spans="1:17" x14ac:dyDescent="0.2">
      <c r="A48" s="128" t="s">
        <v>179</v>
      </c>
      <c r="B48" s="130">
        <f>B46/B47</f>
        <v>-7.1075176776347164E-3</v>
      </c>
      <c r="I48" s="134" t="s">
        <v>283</v>
      </c>
      <c r="J48" s="138">
        <f>J31/J26</f>
        <v>5.1999999999999998E-2</v>
      </c>
      <c r="K48" s="138">
        <f>K31/K26</f>
        <v>5.000000000000001E-2</v>
      </c>
      <c r="L48" s="138">
        <f>$L$31/$L$26</f>
        <v>5.3999999999999999E-2</v>
      </c>
      <c r="M48" s="138">
        <v>5.1999999999999998E-2</v>
      </c>
      <c r="N48" s="138">
        <v>5.1999999999999998E-2</v>
      </c>
      <c r="O48" s="138">
        <v>5.1999999999999998E-2</v>
      </c>
      <c r="P48" s="138">
        <v>5.1999999999999998E-2</v>
      </c>
      <c r="Q48" s="138">
        <v>5.1999999999999998E-2</v>
      </c>
    </row>
    <row r="49" spans="1:17" x14ac:dyDescent="0.2">
      <c r="A49" s="128" t="s">
        <v>193</v>
      </c>
      <c r="B49" s="129">
        <f>B50*B55+B56*(1-H27)*B54</f>
        <v>9.3885029558472624E-2</v>
      </c>
      <c r="I49" s="134" t="s">
        <v>284</v>
      </c>
      <c r="J49" s="138">
        <f>J33/J26</f>
        <v>4.8299999999999996E-2</v>
      </c>
      <c r="K49" s="138">
        <f>K33/K26</f>
        <v>5.5199999999999992E-2</v>
      </c>
      <c r="L49" s="139">
        <f t="shared" ref="L49" si="11">$L$33/$L$26</f>
        <v>5.0599999999999992E-2</v>
      </c>
      <c r="M49" s="139">
        <f>AVERAGE($J$49:$L$49)</f>
        <v>5.1366666666666651E-2</v>
      </c>
      <c r="N49" s="139">
        <f t="shared" ref="N49:Q49" si="12">AVERAGE($J$49:$L$49)</f>
        <v>5.1366666666666651E-2</v>
      </c>
      <c r="O49" s="139">
        <f t="shared" si="12"/>
        <v>5.1366666666666651E-2</v>
      </c>
      <c r="P49" s="139">
        <f t="shared" si="12"/>
        <v>5.1366666666666651E-2</v>
      </c>
      <c r="Q49" s="139">
        <f t="shared" si="12"/>
        <v>5.1366666666666651E-2</v>
      </c>
    </row>
    <row r="50" spans="1:17" x14ac:dyDescent="0.2">
      <c r="A50" s="128" t="s">
        <v>195</v>
      </c>
      <c r="B50" s="131">
        <f>B52+B51*B53</f>
        <v>9.3471833808195973E-2</v>
      </c>
      <c r="I50" s="134" t="s">
        <v>91</v>
      </c>
      <c r="J50" s="135">
        <f>J38/J36</f>
        <v>0.35</v>
      </c>
      <c r="K50" s="135">
        <f t="shared" ref="K50:L50" si="13">K38/K36</f>
        <v>0.35</v>
      </c>
      <c r="L50" s="135">
        <f t="shared" si="13"/>
        <v>0.35</v>
      </c>
      <c r="M50" s="135"/>
      <c r="N50" s="135"/>
      <c r="O50" s="135"/>
      <c r="P50" s="135"/>
      <c r="Q50" s="135"/>
    </row>
    <row r="51" spans="1:17" x14ac:dyDescent="0.2">
      <c r="A51" s="128" t="s">
        <v>194</v>
      </c>
      <c r="B51">
        <f>B45*(1+B48)</f>
        <v>1.0943419622102755</v>
      </c>
    </row>
    <row r="52" spans="1:17" x14ac:dyDescent="0.2">
      <c r="A52" s="77" t="s">
        <v>159</v>
      </c>
      <c r="B52" s="92">
        <v>0.03</v>
      </c>
      <c r="I52" s="15"/>
      <c r="J52" s="51">
        <v>2014</v>
      </c>
      <c r="K52" s="51">
        <v>2015</v>
      </c>
      <c r="L52" s="51">
        <f>K52+1</f>
        <v>2016</v>
      </c>
      <c r="M52" s="51">
        <v>2017</v>
      </c>
      <c r="N52" s="51">
        <v>2018</v>
      </c>
      <c r="O52" s="51">
        <f t="shared" ref="O52" si="14">N52+1</f>
        <v>2019</v>
      </c>
      <c r="P52" s="51">
        <v>2020</v>
      </c>
      <c r="Q52" s="51">
        <v>2021</v>
      </c>
    </row>
    <row r="53" spans="1:17" x14ac:dyDescent="0.2">
      <c r="A53" s="77" t="s">
        <v>161</v>
      </c>
      <c r="B53" s="89">
        <v>5.8000000000000003E-2</v>
      </c>
      <c r="I53" s="12" t="s">
        <v>285</v>
      </c>
      <c r="J53" s="13">
        <v>379.09193212000014</v>
      </c>
      <c r="K53" s="13">
        <v>350.20031570463993</v>
      </c>
      <c r="L53" s="13">
        <v>359.75383404262999</v>
      </c>
      <c r="M53" s="103">
        <f>$L$70*M26</f>
        <v>530.70029689842568</v>
      </c>
      <c r="N53" s="103">
        <f>$L$70*N26</f>
        <v>623.57284885565014</v>
      </c>
      <c r="O53" s="103">
        <f>$L$70*O26</f>
        <v>717.10877618399763</v>
      </c>
      <c r="P53" s="103">
        <f>$L$70*P26</f>
        <v>803.1618293260774</v>
      </c>
      <c r="Q53" s="103">
        <f>$L$70*Q26</f>
        <v>883.47801225868523</v>
      </c>
    </row>
    <row r="54" spans="1:17" x14ac:dyDescent="0.2">
      <c r="A54" s="128" t="s">
        <v>182</v>
      </c>
      <c r="B54" s="130">
        <f>B46/(B47+B46)</f>
        <v>-7.158396104490896E-3</v>
      </c>
      <c r="I54" s="12" t="s">
        <v>286</v>
      </c>
      <c r="J54" s="13">
        <v>485.91219600000011</v>
      </c>
      <c r="K54" s="13">
        <v>592.00597038240016</v>
      </c>
      <c r="L54" s="13">
        <v>680.14353394884995</v>
      </c>
      <c r="M54" s="103">
        <f>$L$71*M26</f>
        <v>838.32781453910923</v>
      </c>
      <c r="N54" s="103">
        <f>$L$71*N26</f>
        <v>985.03518208345338</v>
      </c>
      <c r="O54" s="103">
        <f>$L$71*O26</f>
        <v>1132.7904593959713</v>
      </c>
      <c r="P54" s="103">
        <f>$L$71*P26</f>
        <v>1268.7253145234881</v>
      </c>
      <c r="Q54" s="103">
        <f>$L$71*Q26</f>
        <v>1395.5978459758369</v>
      </c>
    </row>
    <row r="55" spans="1:17" x14ac:dyDescent="0.2">
      <c r="A55" s="128" t="s">
        <v>183</v>
      </c>
      <c r="B55" s="130">
        <f>B47/(B47+B46)</f>
        <v>1.0071583961044908</v>
      </c>
      <c r="I55" s="9" t="s">
        <v>111</v>
      </c>
      <c r="J55" s="14">
        <v>279.76762800000006</v>
      </c>
      <c r="K55" s="14">
        <v>413.6909190624001</v>
      </c>
      <c r="L55" s="14">
        <v>480.58046111355844</v>
      </c>
      <c r="M55" s="103">
        <f>$L$72*M26</f>
        <v>553.83504213527488</v>
      </c>
      <c r="N55" s="103">
        <f>$L$72*N26</f>
        <v>650.75617450894811</v>
      </c>
      <c r="O55" s="103">
        <f>$L$72*O26</f>
        <v>748.36960068529027</v>
      </c>
      <c r="P55" s="103">
        <f>$L$72*P26</f>
        <v>838.17395276752507</v>
      </c>
      <c r="Q55" s="103">
        <f>$L$72*Q26</f>
        <v>921.99134804427774</v>
      </c>
    </row>
    <row r="56" spans="1:17" x14ac:dyDescent="0.2">
      <c r="A56" s="128" t="s">
        <v>177</v>
      </c>
      <c r="B56" s="62">
        <f>J34/J62</f>
        <v>5.5E-2</v>
      </c>
      <c r="I56" s="12" t="s">
        <v>287</v>
      </c>
      <c r="J56" s="13">
        <v>27.756259999999997</v>
      </c>
      <c r="K56" s="13">
        <v>5.1564799999999993</v>
      </c>
      <c r="L56" s="13">
        <v>16.873639999999998</v>
      </c>
      <c r="M56" s="103">
        <f>$L$75*M26</f>
        <v>25.274586440876259</v>
      </c>
      <c r="N56" s="103">
        <f>$L$75*N26</f>
        <v>29.697639068029609</v>
      </c>
      <c r="O56" s="103">
        <f>$L$75*O26</f>
        <v>34.152284928234046</v>
      </c>
      <c r="P56" s="103">
        <f>$L$75*P26</f>
        <v>38.250559119622139</v>
      </c>
      <c r="Q56" s="103">
        <f>$L$75*Q26</f>
        <v>42.075615031584356</v>
      </c>
    </row>
    <row r="57" spans="1:17" x14ac:dyDescent="0.2">
      <c r="I57" s="12" t="s">
        <v>288</v>
      </c>
      <c r="J57" s="13">
        <v>1172.5280161200003</v>
      </c>
      <c r="K57" s="13">
        <v>1361.0536851494403</v>
      </c>
      <c r="L57" s="13">
        <v>1537.3514691050382</v>
      </c>
      <c r="M57" s="103">
        <f>SUM(M53:M56)</f>
        <v>1948.1377400136857</v>
      </c>
      <c r="N57" s="103">
        <f t="shared" ref="N57:Q57" si="15">SUM(N53:N56)</f>
        <v>2289.0618445160812</v>
      </c>
      <c r="O57" s="103">
        <f t="shared" si="15"/>
        <v>2632.4211211934935</v>
      </c>
      <c r="P57" s="103">
        <f t="shared" si="15"/>
        <v>2948.3116557367125</v>
      </c>
      <c r="Q57" s="103">
        <f t="shared" si="15"/>
        <v>3243.1428213103841</v>
      </c>
    </row>
    <row r="58" spans="1:17" x14ac:dyDescent="0.2">
      <c r="I58" s="12"/>
      <c r="J58" s="13"/>
      <c r="K58" s="13"/>
      <c r="L58" s="13"/>
    </row>
    <row r="59" spans="1:17" x14ac:dyDescent="0.2">
      <c r="I59" s="12" t="s">
        <v>289</v>
      </c>
      <c r="J59" s="13">
        <v>249.05317976000001</v>
      </c>
      <c r="K59" s="13">
        <v>339.28059572792006</v>
      </c>
      <c r="L59" s="13">
        <v>479.78928986705364</v>
      </c>
    </row>
    <row r="60" spans="1:17" x14ac:dyDescent="0.2">
      <c r="I60" s="15" t="s">
        <v>290</v>
      </c>
      <c r="J60" s="16">
        <v>1421.5811958800002</v>
      </c>
      <c r="K60" s="16">
        <v>1700.3342808773605</v>
      </c>
      <c r="L60" s="16">
        <v>2017.1407589720918</v>
      </c>
    </row>
    <row r="61" spans="1:17" x14ac:dyDescent="0.2">
      <c r="I61" s="12"/>
      <c r="J61" s="13"/>
      <c r="K61" s="13"/>
      <c r="L61" s="13"/>
    </row>
    <row r="62" spans="1:17" x14ac:dyDescent="0.2">
      <c r="I62" s="12" t="s">
        <v>291</v>
      </c>
      <c r="J62" s="13">
        <v>340.6</v>
      </c>
      <c r="K62" s="13">
        <v>340.6</v>
      </c>
      <c r="L62" s="13">
        <v>310.60000000000002</v>
      </c>
    </row>
    <row r="63" spans="1:17" x14ac:dyDescent="0.2">
      <c r="I63" s="12" t="s">
        <v>292</v>
      </c>
      <c r="J63" s="13">
        <v>126.63166320000001</v>
      </c>
      <c r="K63" s="13">
        <v>153.35094413520002</v>
      </c>
      <c r="L63" s="13">
        <v>175.12677820239841</v>
      </c>
      <c r="M63" s="103">
        <f>$L$73*M26</f>
        <v>217.15720497097405</v>
      </c>
      <c r="N63" s="103">
        <f>$L$73*N26</f>
        <v>255.15971584089453</v>
      </c>
      <c r="O63" s="103">
        <f>$L$73*O26</f>
        <v>293.43367321702868</v>
      </c>
      <c r="P63" s="103">
        <f>$L$73*P26</f>
        <v>328.64571400307216</v>
      </c>
      <c r="Q63" s="103">
        <f>$L$73*Q26</f>
        <v>361.51028540337938</v>
      </c>
    </row>
    <row r="64" spans="1:17" x14ac:dyDescent="0.2">
      <c r="I64" s="12" t="s">
        <v>293</v>
      </c>
      <c r="J64" s="13">
        <v>104.8579</v>
      </c>
      <c r="K64" s="13">
        <v>76.988100000000003</v>
      </c>
      <c r="L64" s="13">
        <v>101.81789430372002</v>
      </c>
      <c r="M64" s="103">
        <f>$L$74*M26</f>
        <v>138.36448884945494</v>
      </c>
      <c r="N64" s="103">
        <f>$L$74*N26</f>
        <v>162.57827439810956</v>
      </c>
      <c r="O64" s="103">
        <f>$L$74*O26</f>
        <v>186.96501555782598</v>
      </c>
      <c r="P64" s="103">
        <f>$L$74*P26</f>
        <v>209.40081742476511</v>
      </c>
      <c r="Q64" s="103">
        <f>$L$74*Q26</f>
        <v>230.34089916724164</v>
      </c>
    </row>
    <row r="65" spans="8:17" x14ac:dyDescent="0.2">
      <c r="I65" s="9" t="s">
        <v>294</v>
      </c>
      <c r="J65" s="14">
        <v>572.08956320000004</v>
      </c>
      <c r="K65" s="14">
        <v>570.93904413520011</v>
      </c>
      <c r="L65" s="14">
        <v>587.54467250611845</v>
      </c>
    </row>
    <row r="66" spans="8:17" x14ac:dyDescent="0.2">
      <c r="I66" s="12"/>
      <c r="J66" s="13"/>
      <c r="K66" s="13"/>
      <c r="L66" s="13"/>
      <c r="M66" s="103">
        <f>SUM(M63:M64)</f>
        <v>355.52169382042899</v>
      </c>
      <c r="N66" s="103">
        <f t="shared" ref="N66:Q66" si="16">SUM(N63:N64)</f>
        <v>417.73799023900409</v>
      </c>
      <c r="O66" s="103">
        <f t="shared" si="16"/>
        <v>480.39868877485469</v>
      </c>
      <c r="P66" s="103">
        <f t="shared" si="16"/>
        <v>538.04653142783729</v>
      </c>
      <c r="Q66" s="103">
        <f t="shared" si="16"/>
        <v>591.85118457062106</v>
      </c>
    </row>
    <row r="67" spans="8:17" x14ac:dyDescent="0.2">
      <c r="I67" s="12" t="s">
        <v>295</v>
      </c>
      <c r="J67" s="13">
        <v>849.5</v>
      </c>
      <c r="K67" s="13">
        <v>1129.40360406216</v>
      </c>
      <c r="L67" s="13">
        <v>1429.604453785973</v>
      </c>
    </row>
    <row r="68" spans="8:17" x14ac:dyDescent="0.2">
      <c r="I68" s="9" t="s">
        <v>296</v>
      </c>
      <c r="J68" s="14">
        <v>1421.5895632000002</v>
      </c>
      <c r="K68" s="14">
        <v>1700.3426481973602</v>
      </c>
      <c r="L68" s="14">
        <v>2017.1491262920913</v>
      </c>
    </row>
    <row r="69" spans="8:17" x14ac:dyDescent="0.2">
      <c r="L69" t="s">
        <v>297</v>
      </c>
    </row>
    <row r="70" spans="8:17" x14ac:dyDescent="0.2">
      <c r="H70" s="134" t="s">
        <v>298</v>
      </c>
      <c r="I70" s="139">
        <f>J53/J26</f>
        <v>0.12872730776199742</v>
      </c>
      <c r="J70" s="139">
        <f>K53/K26</f>
        <v>9.8197071170447237E-2</v>
      </c>
      <c r="K70" s="139">
        <f>L53/L26</f>
        <v>8.8332664042701098E-2</v>
      </c>
      <c r="L70" s="137">
        <f>AVERAGE(I70:K70)</f>
        <v>0.10508568099171527</v>
      </c>
    </row>
    <row r="71" spans="8:17" x14ac:dyDescent="0.2">
      <c r="H71" s="134" t="s">
        <v>299</v>
      </c>
      <c r="I71" s="139">
        <f>J54/J26</f>
        <v>0.16500000000000001</v>
      </c>
      <c r="J71" s="139">
        <f>K54/K26</f>
        <v>0.16600000000000001</v>
      </c>
      <c r="K71" s="139">
        <f>L54/L26</f>
        <v>0.16700000000000007</v>
      </c>
      <c r="L71" s="137">
        <f t="shared" ref="L71:L75" si="17">AVERAGE(I71:K71)</f>
        <v>0.16600000000000004</v>
      </c>
    </row>
    <row r="72" spans="8:17" x14ac:dyDescent="0.2">
      <c r="H72" s="134" t="s">
        <v>300</v>
      </c>
      <c r="I72" s="139">
        <f>J55/J26</f>
        <v>9.5000000000000001E-2</v>
      </c>
      <c r="J72" s="139">
        <f>K55/K26</f>
        <v>0.11600000000000001</v>
      </c>
      <c r="K72" s="139">
        <f>L55/L26</f>
        <v>0.11799999999999999</v>
      </c>
      <c r="L72" s="137">
        <f t="shared" si="17"/>
        <v>0.10966666666666668</v>
      </c>
    </row>
    <row r="73" spans="8:17" x14ac:dyDescent="0.2">
      <c r="H73" s="134" t="s">
        <v>301</v>
      </c>
      <c r="I73" s="139">
        <f>J63/J26</f>
        <v>4.2999999999999997E-2</v>
      </c>
      <c r="J73" s="139">
        <f>K63/K26</f>
        <v>4.2999999999999997E-2</v>
      </c>
      <c r="K73" s="139">
        <f>L63/L26</f>
        <v>4.2999999999999997E-2</v>
      </c>
      <c r="L73" s="137">
        <f t="shared" si="17"/>
        <v>4.3000000000000003E-2</v>
      </c>
    </row>
    <row r="74" spans="8:17" x14ac:dyDescent="0.2">
      <c r="H74" s="134" t="s">
        <v>302</v>
      </c>
      <c r="I74" s="139">
        <f>J64/J26</f>
        <v>3.5606337199241646E-2</v>
      </c>
      <c r="J74" s="139">
        <f>K64/K26</f>
        <v>2.1587661678048407E-2</v>
      </c>
      <c r="K74" s="139">
        <f>L64/L26</f>
        <v>2.5000000000000001E-2</v>
      </c>
      <c r="L74" s="137">
        <f t="shared" si="17"/>
        <v>2.7397999625763354E-2</v>
      </c>
    </row>
    <row r="75" spans="8:17" x14ac:dyDescent="0.2">
      <c r="H75" s="134" t="s">
        <v>303</v>
      </c>
      <c r="I75" s="140">
        <f>J56/J26</f>
        <v>9.4251244107484786E-3</v>
      </c>
      <c r="J75" s="140">
        <f>K56/K26</f>
        <v>1.4458902829089565E-3</v>
      </c>
      <c r="K75" s="139">
        <f>L56/L26</f>
        <v>4.1430929492772628E-3</v>
      </c>
      <c r="L75" s="137">
        <f t="shared" si="17"/>
        <v>5.0047025476448988E-3</v>
      </c>
    </row>
    <row r="77" spans="8:17" x14ac:dyDescent="0.2">
      <c r="I77" s="24" t="s">
        <v>304</v>
      </c>
      <c r="J77" s="28"/>
      <c r="K77" s="28"/>
      <c r="L77" s="28"/>
    </row>
    <row r="78" spans="8:17" x14ac:dyDescent="0.2">
      <c r="I78" s="9" t="s">
        <v>305</v>
      </c>
      <c r="J78" s="31">
        <v>-230.29293168000001</v>
      </c>
      <c r="K78" s="31">
        <v>-287.08723262520004</v>
      </c>
      <c r="L78" s="31">
        <v>-346.58811220986286</v>
      </c>
      <c r="M78" s="103">
        <f>$J$82*M26</f>
        <v>410.41028350328264</v>
      </c>
      <c r="N78" s="103">
        <f>$J$82*N26</f>
        <v>482.2320831163571</v>
      </c>
      <c r="O78" s="103">
        <f>$J$82*O26</f>
        <v>554.56689558381072</v>
      </c>
      <c r="P78" s="103">
        <f>$J$82*P26</f>
        <v>621.11492305386798</v>
      </c>
      <c r="Q78" s="103">
        <f>$J$82*Q26</f>
        <v>683.22641535925482</v>
      </c>
    </row>
    <row r="79" spans="8:17" x14ac:dyDescent="0.2">
      <c r="I79" s="12" t="s">
        <v>306</v>
      </c>
      <c r="J79" s="28">
        <v>-230.29293168000001</v>
      </c>
      <c r="K79" s="28">
        <v>-287.08723262520004</v>
      </c>
      <c r="L79" s="28">
        <v>-346.58811220986286</v>
      </c>
    </row>
    <row r="81" spans="9:12" x14ac:dyDescent="0.2">
      <c r="I81" s="135" t="s">
        <v>307</v>
      </c>
      <c r="J81" s="140">
        <f>-J78/J26</f>
        <v>7.8199999999999992E-2</v>
      </c>
      <c r="K81" s="140">
        <f>-K78/K26</f>
        <v>8.0499999999999988E-2</v>
      </c>
      <c r="L81" s="140">
        <f>-L78/L26</f>
        <v>8.5099999999999981E-2</v>
      </c>
    </row>
    <row r="82" spans="9:12" x14ac:dyDescent="0.2">
      <c r="I82" s="135"/>
      <c r="J82" s="140">
        <f>AVERAGE(J81:L81)</f>
        <v>8.1266666666666654E-2</v>
      </c>
      <c r="K82" s="140"/>
      <c r="L82" s="140"/>
    </row>
    <row r="83" spans="9:12" x14ac:dyDescent="0.2">
      <c r="J83" s="119"/>
      <c r="K83" s="119"/>
      <c r="L83" s="119"/>
    </row>
    <row r="84" spans="9:12" x14ac:dyDescent="0.2">
      <c r="J84" s="119"/>
      <c r="K84" s="119"/>
      <c r="L84" s="119"/>
    </row>
    <row r="85" spans="9:12" x14ac:dyDescent="0.2">
      <c r="J85" s="119"/>
      <c r="K85" s="119"/>
      <c r="L85" s="11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2598-A390-4DBC-9B54-578A285DA339}">
  <dimension ref="A2:H23"/>
  <sheetViews>
    <sheetView topLeftCell="A13" workbookViewId="0">
      <selection activeCell="E2" sqref="E2"/>
    </sheetView>
  </sheetViews>
  <sheetFormatPr baseColWidth="10" defaultColWidth="8.83203125" defaultRowHeight="16" x14ac:dyDescent="0.2"/>
  <cols>
    <col min="3" max="3" width="17.1640625" customWidth="1"/>
    <col min="5" max="5" width="10.1640625" customWidth="1"/>
  </cols>
  <sheetData>
    <row r="2" spans="1:8" x14ac:dyDescent="0.2">
      <c r="A2" s="197" t="s">
        <v>308</v>
      </c>
      <c r="B2" s="176"/>
      <c r="C2" s="176"/>
      <c r="D2" s="176"/>
    </row>
    <row r="3" spans="1:8" x14ac:dyDescent="0.2">
      <c r="A3" s="179" t="s">
        <v>99</v>
      </c>
      <c r="B3" s="180">
        <v>2016</v>
      </c>
      <c r="C3" s="180">
        <v>2016</v>
      </c>
      <c r="D3" s="180">
        <v>2016</v>
      </c>
    </row>
    <row r="4" spans="1:8" x14ac:dyDescent="0.2">
      <c r="A4" s="183" t="s">
        <v>201</v>
      </c>
      <c r="B4" s="184" t="s">
        <v>4</v>
      </c>
      <c r="C4" s="184" t="s">
        <v>5</v>
      </c>
      <c r="D4" s="184" t="s">
        <v>202</v>
      </c>
    </row>
    <row r="5" spans="1:8" x14ac:dyDescent="0.2">
      <c r="A5" s="183" t="s">
        <v>203</v>
      </c>
      <c r="B5" s="198">
        <v>10082</v>
      </c>
      <c r="C5" s="198">
        <v>2017</v>
      </c>
      <c r="D5" s="199">
        <v>17537</v>
      </c>
    </row>
    <row r="6" spans="1:8" x14ac:dyDescent="0.2">
      <c r="A6" s="183" t="s">
        <v>204</v>
      </c>
      <c r="B6" s="198">
        <v>8537</v>
      </c>
      <c r="C6" s="198">
        <v>588</v>
      </c>
      <c r="D6" s="199">
        <v>9124</v>
      </c>
    </row>
    <row r="7" spans="1:8" x14ac:dyDescent="0.2">
      <c r="A7" s="183" t="s">
        <v>205</v>
      </c>
      <c r="B7" s="198">
        <v>1545</v>
      </c>
      <c r="C7" s="198">
        <v>1430</v>
      </c>
      <c r="D7" s="199">
        <v>8412</v>
      </c>
    </row>
    <row r="8" spans="1:8" x14ac:dyDescent="0.2">
      <c r="A8" s="183" t="s">
        <v>206</v>
      </c>
      <c r="B8" s="198">
        <v>10082</v>
      </c>
      <c r="C8" s="198">
        <v>2017</v>
      </c>
      <c r="D8" s="199">
        <v>17537</v>
      </c>
    </row>
    <row r="9" spans="1:8" x14ac:dyDescent="0.2">
      <c r="A9" s="183" t="s">
        <v>207</v>
      </c>
      <c r="B9" s="200">
        <v>1500</v>
      </c>
      <c r="C9" s="184" t="s">
        <v>99</v>
      </c>
      <c r="D9" s="201">
        <v>2946</v>
      </c>
    </row>
    <row r="10" spans="1:8" x14ac:dyDescent="0.2">
      <c r="A10" s="176"/>
      <c r="B10" s="176"/>
      <c r="C10" s="176"/>
      <c r="D10" s="176"/>
    </row>
    <row r="11" spans="1:8" x14ac:dyDescent="0.2">
      <c r="A11" s="197" t="s">
        <v>309</v>
      </c>
      <c r="B11" s="202"/>
    </row>
    <row r="12" spans="1:8" x14ac:dyDescent="0.2">
      <c r="A12" s="176"/>
      <c r="B12" s="176"/>
      <c r="C12" s="176"/>
      <c r="D12" s="203" t="s">
        <v>208</v>
      </c>
      <c r="E12" s="203" t="s">
        <v>209</v>
      </c>
      <c r="F12" s="203" t="s">
        <v>210</v>
      </c>
      <c r="G12" s="176"/>
      <c r="H12" s="176"/>
    </row>
    <row r="13" spans="1:8" x14ac:dyDescent="0.2">
      <c r="A13" s="176" t="s">
        <v>310</v>
      </c>
      <c r="B13" s="176"/>
      <c r="C13" s="176"/>
      <c r="D13" s="204" t="s">
        <v>211</v>
      </c>
      <c r="E13" s="204">
        <v>0.96</v>
      </c>
      <c r="F13" s="205">
        <v>0.83</v>
      </c>
      <c r="G13" s="176" t="s">
        <v>212</v>
      </c>
      <c r="H13" s="176"/>
    </row>
    <row r="14" spans="1:8" x14ac:dyDescent="0.2">
      <c r="A14" s="176" t="s">
        <v>311</v>
      </c>
      <c r="B14" s="176"/>
      <c r="C14" s="176"/>
      <c r="D14" s="204" t="s">
        <v>213</v>
      </c>
      <c r="E14" s="204" t="s">
        <v>312</v>
      </c>
      <c r="F14" s="205" t="s">
        <v>313</v>
      </c>
      <c r="G14" s="176" t="s">
        <v>212</v>
      </c>
      <c r="H14" s="176"/>
    </row>
    <row r="15" spans="1:8" x14ac:dyDescent="0.2">
      <c r="A15" s="176" t="s">
        <v>314</v>
      </c>
      <c r="B15" s="176"/>
      <c r="C15" s="176"/>
      <c r="D15" s="204" t="s">
        <v>214</v>
      </c>
      <c r="E15" s="206" t="s">
        <v>315</v>
      </c>
      <c r="F15" s="207" t="s">
        <v>316</v>
      </c>
      <c r="G15" s="176" t="s">
        <v>215</v>
      </c>
      <c r="H15" s="176"/>
    </row>
    <row r="20" spans="2:4" x14ac:dyDescent="0.2">
      <c r="C20" s="184" t="s">
        <v>4</v>
      </c>
      <c r="D20" s="184" t="s">
        <v>317</v>
      </c>
    </row>
    <row r="21" spans="2:4" x14ac:dyDescent="0.2">
      <c r="B21" s="183" t="s">
        <v>203</v>
      </c>
      <c r="C21" s="198">
        <v>10082</v>
      </c>
      <c r="D21" s="199">
        <v>17570</v>
      </c>
    </row>
    <row r="22" spans="2:4" x14ac:dyDescent="0.2">
      <c r="B22" s="183" t="s">
        <v>204</v>
      </c>
      <c r="C22" s="198">
        <v>8537</v>
      </c>
      <c r="D22" s="199">
        <v>7549</v>
      </c>
    </row>
    <row r="23" spans="2:4" x14ac:dyDescent="0.2">
      <c r="B23" s="183" t="s">
        <v>205</v>
      </c>
      <c r="C23" s="198">
        <v>1545</v>
      </c>
      <c r="D23" s="199">
        <v>10020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59F2-8E47-473D-8271-4D37065EDFC0}">
  <dimension ref="B2:H18"/>
  <sheetViews>
    <sheetView workbookViewId="0">
      <selection activeCell="E13" sqref="E13"/>
    </sheetView>
  </sheetViews>
  <sheetFormatPr baseColWidth="10" defaultColWidth="8.83203125" defaultRowHeight="16" x14ac:dyDescent="0.2"/>
  <cols>
    <col min="3" max="3" width="11" bestFit="1" customWidth="1"/>
    <col min="4" max="7" width="10.1640625" bestFit="1" customWidth="1"/>
    <col min="8" max="8" width="10.33203125" bestFit="1" customWidth="1"/>
  </cols>
  <sheetData>
    <row r="2" spans="2:8" x14ac:dyDescent="0.2">
      <c r="B2" s="208"/>
      <c r="C2" s="209">
        <v>1</v>
      </c>
      <c r="D2" s="210">
        <v>2</v>
      </c>
      <c r="E2" s="210">
        <v>3</v>
      </c>
      <c r="F2" s="210">
        <v>4</v>
      </c>
      <c r="G2" s="210">
        <v>5</v>
      </c>
      <c r="H2" s="210">
        <v>6</v>
      </c>
    </row>
    <row r="3" spans="2:8" x14ac:dyDescent="0.2">
      <c r="B3" s="211" t="s">
        <v>110</v>
      </c>
      <c r="C3" s="212" t="s">
        <v>318</v>
      </c>
      <c r="D3" s="212" t="s">
        <v>319</v>
      </c>
      <c r="E3" s="212" t="s">
        <v>320</v>
      </c>
      <c r="F3" s="212" t="s">
        <v>321</v>
      </c>
      <c r="G3" s="212" t="s">
        <v>322</v>
      </c>
      <c r="H3" s="212" t="s">
        <v>323</v>
      </c>
    </row>
    <row r="4" spans="2:8" x14ac:dyDescent="0.2">
      <c r="B4" s="213" t="s">
        <v>111</v>
      </c>
      <c r="C4" s="214" t="s">
        <v>324</v>
      </c>
      <c r="D4" s="214" t="s">
        <v>325</v>
      </c>
      <c r="E4" s="214" t="s">
        <v>326</v>
      </c>
      <c r="F4" s="214" t="s">
        <v>327</v>
      </c>
      <c r="G4" s="214" t="s">
        <v>328</v>
      </c>
      <c r="H4" s="214" t="s">
        <v>329</v>
      </c>
    </row>
    <row r="5" spans="2:8" x14ac:dyDescent="0.2">
      <c r="B5" s="213" t="s">
        <v>112</v>
      </c>
      <c r="C5" s="215">
        <v>-1153</v>
      </c>
      <c r="D5" s="215">
        <v>-1384</v>
      </c>
      <c r="E5" s="215">
        <v>-1605</v>
      </c>
      <c r="F5" s="215">
        <v>-1733</v>
      </c>
      <c r="G5" s="215">
        <v>-1837</v>
      </c>
      <c r="H5" s="215">
        <v>-1948</v>
      </c>
    </row>
    <row r="6" spans="2:8" x14ac:dyDescent="0.2">
      <c r="B6" s="213" t="s">
        <v>113</v>
      </c>
      <c r="C6" s="215">
        <v>-567</v>
      </c>
      <c r="D6" s="215">
        <v>-715</v>
      </c>
      <c r="E6" s="215">
        <v>-829</v>
      </c>
      <c r="F6" s="215">
        <v>-896</v>
      </c>
      <c r="G6" s="215">
        <v>-949</v>
      </c>
      <c r="H6" s="215">
        <v>-1006</v>
      </c>
    </row>
    <row r="7" spans="2:8" x14ac:dyDescent="0.2">
      <c r="B7" s="213" t="s">
        <v>114</v>
      </c>
      <c r="C7" s="214">
        <v>3031</v>
      </c>
      <c r="D7" s="214">
        <v>3724</v>
      </c>
      <c r="E7" s="214">
        <v>4320</v>
      </c>
      <c r="F7" s="214">
        <v>4666</v>
      </c>
      <c r="G7" s="214">
        <v>4946</v>
      </c>
      <c r="H7" s="214">
        <v>5243</v>
      </c>
    </row>
    <row r="8" spans="2:8" x14ac:dyDescent="0.2">
      <c r="B8" s="213" t="s">
        <v>109</v>
      </c>
      <c r="C8" s="214" t="s">
        <v>100</v>
      </c>
      <c r="D8" s="215">
        <v>-86</v>
      </c>
      <c r="E8" s="214">
        <v>242</v>
      </c>
      <c r="F8" s="214">
        <v>709</v>
      </c>
      <c r="G8" s="214">
        <v>845</v>
      </c>
      <c r="H8" s="214">
        <v>14750</v>
      </c>
    </row>
    <row r="9" spans="2:8" x14ac:dyDescent="0.2">
      <c r="B9" s="216" t="s">
        <v>99</v>
      </c>
      <c r="C9" s="217"/>
      <c r="D9" s="218">
        <f>D8/(1+$C$17)^C2</f>
        <v>-78.42422031734452</v>
      </c>
      <c r="E9" s="218">
        <f t="shared" ref="E9:H9" si="0">E8/(1+$C$17)^D2</f>
        <v>201.24211958312347</v>
      </c>
      <c r="F9" s="218">
        <f t="shared" si="0"/>
        <v>537.65230315352835</v>
      </c>
      <c r="G9" s="218">
        <f t="shared" si="0"/>
        <v>584.33747928233038</v>
      </c>
      <c r="H9" s="218">
        <f t="shared" si="0"/>
        <v>9301.4533565440834</v>
      </c>
    </row>
    <row r="10" spans="2:8" x14ac:dyDescent="0.2">
      <c r="B10" s="211" t="s">
        <v>92</v>
      </c>
      <c r="C10" s="219">
        <f>SUM(D9:H9)</f>
        <v>10546.261038245721</v>
      </c>
      <c r="D10" s="217"/>
      <c r="E10" s="217"/>
      <c r="F10" s="217"/>
      <c r="G10" s="217"/>
      <c r="H10" s="217"/>
    </row>
    <row r="11" spans="2:8" x14ac:dyDescent="0.2">
      <c r="B11" s="213" t="s">
        <v>115</v>
      </c>
      <c r="C11" s="220">
        <v>6410</v>
      </c>
      <c r="D11" s="217"/>
      <c r="E11" s="217"/>
      <c r="F11" s="217"/>
      <c r="G11" s="217"/>
      <c r="H11" s="217"/>
    </row>
    <row r="12" spans="2:8" x14ac:dyDescent="0.2">
      <c r="B12" s="213" t="s">
        <v>330</v>
      </c>
      <c r="C12" s="221">
        <v>304</v>
      </c>
      <c r="D12" s="217"/>
      <c r="E12" s="217"/>
      <c r="F12" s="217"/>
      <c r="G12" s="217"/>
      <c r="H12" s="217"/>
    </row>
    <row r="13" spans="2:8" x14ac:dyDescent="0.2">
      <c r="B13" s="213" t="s">
        <v>116</v>
      </c>
      <c r="C13" s="222">
        <f>C10-C11+C12</f>
        <v>4440.2610382457206</v>
      </c>
      <c r="D13" s="217"/>
      <c r="E13" s="217"/>
      <c r="F13" s="217"/>
      <c r="G13" s="217"/>
      <c r="H13" s="217"/>
    </row>
    <row r="14" spans="2:8" x14ac:dyDescent="0.2">
      <c r="B14" s="213" t="s">
        <v>117</v>
      </c>
      <c r="C14" s="220">
        <v>1500</v>
      </c>
      <c r="D14" s="217"/>
      <c r="E14" s="217"/>
      <c r="F14" s="217"/>
      <c r="G14" s="217"/>
      <c r="H14" s="217"/>
    </row>
    <row r="15" spans="2:8" x14ac:dyDescent="0.2">
      <c r="B15" s="216" t="s">
        <v>118</v>
      </c>
      <c r="C15" s="221">
        <f>C13/C14</f>
        <v>2.9601740254971469</v>
      </c>
      <c r="D15" s="217"/>
      <c r="E15" s="217"/>
      <c r="F15" s="217"/>
      <c r="G15" s="217"/>
      <c r="H15" s="217"/>
    </row>
    <row r="16" spans="2:8" x14ac:dyDescent="0.2">
      <c r="B16" s="223" t="s">
        <v>331</v>
      </c>
      <c r="C16" s="224">
        <v>3.5</v>
      </c>
    </row>
    <row r="17" spans="2:3" x14ac:dyDescent="0.2">
      <c r="B17" s="225" t="s">
        <v>193</v>
      </c>
      <c r="C17" s="226">
        <v>9.6600000000000005E-2</v>
      </c>
    </row>
    <row r="18" spans="2:3" x14ac:dyDescent="0.2">
      <c r="B18" s="225" t="s">
        <v>265</v>
      </c>
      <c r="C18" s="227">
        <f>(C16-C15)*450-50*C15</f>
        <v>94.912987251426529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P76"/>
  <sheetViews>
    <sheetView showGridLines="0" zoomScale="162" zoomScaleNormal="120" workbookViewId="0">
      <selection activeCell="C17" sqref="C17"/>
    </sheetView>
  </sheetViews>
  <sheetFormatPr baseColWidth="10" defaultColWidth="11" defaultRowHeight="14" x14ac:dyDescent="0.2"/>
  <cols>
    <col min="1" max="1" width="32.1640625" style="1" customWidth="1"/>
    <col min="2" max="3" width="6.1640625" style="1" bestFit="1" customWidth="1"/>
    <col min="4" max="9" width="6.83203125" style="1" bestFit="1" customWidth="1"/>
    <col min="10" max="10" width="11" style="12"/>
    <col min="11" max="16384" width="11" style="1"/>
  </cols>
  <sheetData>
    <row r="1" spans="1:11" x14ac:dyDescent="0.2">
      <c r="A1" s="24" t="s">
        <v>332</v>
      </c>
      <c r="B1" s="12"/>
      <c r="C1" s="12"/>
      <c r="D1" s="12"/>
      <c r="E1" s="12"/>
      <c r="F1" s="12"/>
      <c r="G1" s="12"/>
      <c r="H1" s="12"/>
      <c r="I1" s="12"/>
    </row>
    <row r="2" spans="1:11" x14ac:dyDescent="0.2">
      <c r="A2" s="24" t="s">
        <v>333</v>
      </c>
      <c r="B2" s="12"/>
      <c r="C2" s="12"/>
      <c r="D2" s="12"/>
      <c r="E2" s="12"/>
      <c r="F2" s="12"/>
      <c r="G2" s="12"/>
      <c r="H2" s="12"/>
      <c r="I2" s="12"/>
    </row>
    <row r="3" spans="1:11" x14ac:dyDescent="0.2">
      <c r="A3" s="8"/>
      <c r="B3" s="9"/>
      <c r="C3" s="9"/>
      <c r="D3" s="9"/>
      <c r="E3" s="9"/>
      <c r="F3" s="9"/>
      <c r="G3" s="9"/>
      <c r="H3" s="9"/>
      <c r="I3" s="9"/>
    </row>
    <row r="4" spans="1:11" x14ac:dyDescent="0.2">
      <c r="A4" s="9"/>
      <c r="B4" s="10">
        <v>42004</v>
      </c>
      <c r="C4" s="10">
        <f>EOMONTH(B4,12)</f>
        <v>42369</v>
      </c>
      <c r="D4" s="10">
        <f t="shared" ref="D4:I4" si="0">EOMONTH(C4,12)</f>
        <v>42735</v>
      </c>
      <c r="E4" s="11">
        <f t="shared" si="0"/>
        <v>43100</v>
      </c>
      <c r="F4" s="11">
        <f t="shared" si="0"/>
        <v>43465</v>
      </c>
      <c r="G4" s="11">
        <f t="shared" si="0"/>
        <v>43830</v>
      </c>
      <c r="H4" s="11">
        <f t="shared" si="0"/>
        <v>44196</v>
      </c>
      <c r="I4" s="11">
        <f t="shared" si="0"/>
        <v>44561</v>
      </c>
    </row>
    <row r="5" spans="1:11" x14ac:dyDescent="0.2">
      <c r="A5" s="12" t="s">
        <v>285</v>
      </c>
      <c r="B5" s="13">
        <f>'Exh. 3 Burton SOCF'!B31</f>
        <v>279.67020000000002</v>
      </c>
      <c r="C5" s="13">
        <f>'Exh. 3 Burton SOCF'!C31</f>
        <v>251.30361900000025</v>
      </c>
      <c r="D5" s="13">
        <f>'Exh. 3 Burton SOCF'!D31</f>
        <v>304.25415420699932</v>
      </c>
      <c r="E5" s="13">
        <f>'Exh. 3 Burton SOCF'!E31</f>
        <v>371.27018204385013</v>
      </c>
      <c r="F5" s="13">
        <f>'Exh. 3 Burton SOCF'!F31</f>
        <v>359.69694557214336</v>
      </c>
      <c r="G5" s="13">
        <f>'Exh. 3 Burton SOCF'!G31</f>
        <v>368.62282285500243</v>
      </c>
      <c r="H5" s="13">
        <f>'Exh. 3 Burton SOCF'!H31</f>
        <v>437.50648181554453</v>
      </c>
      <c r="I5" s="13">
        <f>'Exh. 3 Burton SOCF'!I31</f>
        <v>484.5568971088997</v>
      </c>
      <c r="J5" s="23"/>
    </row>
    <row r="6" spans="1:11" x14ac:dyDescent="0.2">
      <c r="A6" s="12" t="s">
        <v>286</v>
      </c>
      <c r="B6" s="13">
        <f t="shared" ref="B6:G6" si="1">B35*B39</f>
        <v>1552.5405000000001</v>
      </c>
      <c r="C6" s="13">
        <f t="shared" si="1"/>
        <v>1894.0360410000001</v>
      </c>
      <c r="D6" s="13">
        <f t="shared" si="1"/>
        <v>2315.3772190590003</v>
      </c>
      <c r="E6" s="13">
        <f t="shared" si="1"/>
        <v>2824.9461813257999</v>
      </c>
      <c r="F6" s="13">
        <f t="shared" si="1"/>
        <v>3276.9375703379278</v>
      </c>
      <c r="G6" s="13">
        <f t="shared" si="1"/>
        <v>3539.0925759649626</v>
      </c>
      <c r="H6" s="13">
        <f t="shared" ref="H6:I6" si="2">H35*H39</f>
        <v>3751.4381305228603</v>
      </c>
      <c r="I6" s="13">
        <f t="shared" si="2"/>
        <v>3976.5244183542322</v>
      </c>
      <c r="J6" s="12" t="s">
        <v>334</v>
      </c>
    </row>
    <row r="7" spans="1:11" x14ac:dyDescent="0.2">
      <c r="A7" s="12" t="s">
        <v>111</v>
      </c>
      <c r="B7" s="13">
        <f t="shared" ref="B7:G7" si="3">B35*B40</f>
        <v>1672.9416000000003</v>
      </c>
      <c r="C7" s="13">
        <f t="shared" si="3"/>
        <v>2096.6901030000004</v>
      </c>
      <c r="D7" s="13">
        <f t="shared" si="3"/>
        <v>2436.2603670420003</v>
      </c>
      <c r="E7" s="13">
        <f t="shared" si="3"/>
        <v>2997.9020699784</v>
      </c>
      <c r="F7" s="13">
        <f t="shared" si="3"/>
        <v>3477.5664011749441</v>
      </c>
      <c r="G7" s="13">
        <f t="shared" si="3"/>
        <v>3755.7717132689399</v>
      </c>
      <c r="H7" s="13">
        <f t="shared" ref="H7:I7" si="4">H35*H40</f>
        <v>3981.1180160650765</v>
      </c>
      <c r="I7" s="13">
        <f t="shared" si="4"/>
        <v>4219.9850970289808</v>
      </c>
      <c r="J7" s="12" t="s">
        <v>335</v>
      </c>
    </row>
    <row r="8" spans="1:11" x14ac:dyDescent="0.2">
      <c r="A8" s="9" t="s">
        <v>336</v>
      </c>
      <c r="B8" s="14">
        <f t="shared" ref="B8:G8" si="5">B35*B44</f>
        <v>253.47600000000003</v>
      </c>
      <c r="C8" s="14">
        <f t="shared" si="5"/>
        <v>311.77548000000002</v>
      </c>
      <c r="D8" s="14">
        <f t="shared" si="5"/>
        <v>371.94814764000006</v>
      </c>
      <c r="E8" s="14">
        <f t="shared" si="5"/>
        <v>461.21570307360003</v>
      </c>
      <c r="F8" s="14">
        <f t="shared" si="5"/>
        <v>535.01021556537603</v>
      </c>
      <c r="G8" s="14">
        <f t="shared" si="5"/>
        <v>577.81103281060609</v>
      </c>
      <c r="H8" s="14">
        <f t="shared" ref="H8:I8" si="6">H35*H44</f>
        <v>612.47969477924255</v>
      </c>
      <c r="I8" s="14">
        <f t="shared" si="6"/>
        <v>649.22847646599712</v>
      </c>
      <c r="J8" s="12" t="s">
        <v>337</v>
      </c>
    </row>
    <row r="9" spans="1:11" x14ac:dyDescent="0.2">
      <c r="A9" s="12" t="s">
        <v>288</v>
      </c>
      <c r="B9" s="13">
        <f t="shared" ref="B9:G9" si="7">SUM(B5:B8)</f>
        <v>3758.6283000000008</v>
      </c>
      <c r="C9" s="13">
        <f t="shared" si="7"/>
        <v>4553.8052430000007</v>
      </c>
      <c r="D9" s="13">
        <f t="shared" si="7"/>
        <v>5427.8398879479992</v>
      </c>
      <c r="E9" s="13">
        <f t="shared" si="7"/>
        <v>6655.3341364216503</v>
      </c>
      <c r="F9" s="13">
        <f t="shared" si="7"/>
        <v>7649.2111326503909</v>
      </c>
      <c r="G9" s="13">
        <f t="shared" si="7"/>
        <v>8241.2981448995124</v>
      </c>
      <c r="H9" s="13">
        <f t="shared" ref="H9:I9" si="8">SUM(H5:H8)</f>
        <v>8782.5423231827244</v>
      </c>
      <c r="I9" s="13">
        <f t="shared" si="8"/>
        <v>9330.2948889581094</v>
      </c>
      <c r="J9" s="23"/>
    </row>
    <row r="10" spans="1:11" x14ac:dyDescent="0.2">
      <c r="A10" s="12"/>
      <c r="B10" s="13"/>
      <c r="C10" s="13"/>
      <c r="D10" s="13"/>
      <c r="E10" s="13"/>
      <c r="F10" s="13"/>
      <c r="G10" s="13"/>
      <c r="H10" s="13"/>
      <c r="I10" s="13"/>
      <c r="J10" s="23"/>
    </row>
    <row r="11" spans="1:11" x14ac:dyDescent="0.2">
      <c r="A11" s="12" t="s">
        <v>289</v>
      </c>
      <c r="B11" s="13">
        <f>B51</f>
        <v>3874.0107599999997</v>
      </c>
      <c r="C11" s="13">
        <f t="shared" ref="C11:G11" si="9">C51</f>
        <v>4293.3487805999994</v>
      </c>
      <c r="D11" s="13">
        <f t="shared" si="9"/>
        <v>4654.1384838107997</v>
      </c>
      <c r="E11" s="13">
        <f t="shared" si="9"/>
        <v>4847.8490791017121</v>
      </c>
      <c r="F11" s="13">
        <f t="shared" si="9"/>
        <v>4938.8008157478262</v>
      </c>
      <c r="G11" s="13">
        <f t="shared" si="9"/>
        <v>4875.2416021386589</v>
      </c>
      <c r="H11" s="13">
        <f t="shared" ref="H11:I11" si="10">H51</f>
        <v>4789.4944448695651</v>
      </c>
      <c r="I11" s="13">
        <f t="shared" si="10"/>
        <v>4698.6024581643251</v>
      </c>
      <c r="J11" s="23"/>
    </row>
    <row r="12" spans="1:11" x14ac:dyDescent="0.2">
      <c r="A12" s="15" t="s">
        <v>290</v>
      </c>
      <c r="B12" s="16">
        <f>B9+B11</f>
        <v>7632.6390600000004</v>
      </c>
      <c r="C12" s="16">
        <f t="shared" ref="C12:G12" si="11">C9+C11</f>
        <v>8847.1540236000001</v>
      </c>
      <c r="D12" s="16">
        <f t="shared" si="11"/>
        <v>10081.9783717588</v>
      </c>
      <c r="E12" s="16">
        <f t="shared" si="11"/>
        <v>11503.183215523362</v>
      </c>
      <c r="F12" s="16">
        <f t="shared" si="11"/>
        <v>12588.011948398216</v>
      </c>
      <c r="G12" s="16">
        <f t="shared" si="11"/>
        <v>13116.539747038172</v>
      </c>
      <c r="H12" s="16">
        <f t="shared" ref="H12:I12" si="12">H9+H11</f>
        <v>13572.03676805229</v>
      </c>
      <c r="I12" s="16">
        <f t="shared" si="12"/>
        <v>14028.897347122434</v>
      </c>
      <c r="J12" s="23"/>
    </row>
    <row r="13" spans="1:11" x14ac:dyDescent="0.2">
      <c r="A13" s="12"/>
      <c r="B13" s="13"/>
      <c r="C13" s="13"/>
      <c r="D13" s="13"/>
      <c r="E13" s="13"/>
      <c r="F13" s="13"/>
      <c r="G13" s="13"/>
      <c r="H13" s="13"/>
      <c r="I13" s="13"/>
      <c r="J13" s="23"/>
    </row>
    <row r="14" spans="1:11" x14ac:dyDescent="0.2">
      <c r="A14" s="12" t="s">
        <v>292</v>
      </c>
      <c r="B14" s="13">
        <f t="shared" ref="B14:G14" si="13">B35*B41</f>
        <v>773.10180000000003</v>
      </c>
      <c r="C14" s="13">
        <f t="shared" si="13"/>
        <v>935.32644000000005</v>
      </c>
      <c r="D14" s="13">
        <f t="shared" si="13"/>
        <v>1153.0392576840002</v>
      </c>
      <c r="E14" s="13">
        <f t="shared" si="13"/>
        <v>1383.6471092208001</v>
      </c>
      <c r="F14" s="13">
        <f>F35*F41</f>
        <v>1605.0306466961279</v>
      </c>
      <c r="G14" s="13">
        <f t="shared" si="13"/>
        <v>1733.4330984318183</v>
      </c>
      <c r="H14" s="13">
        <f t="shared" ref="H14:I14" si="14">H35*H41</f>
        <v>1837.4390843377273</v>
      </c>
      <c r="I14" s="13">
        <f t="shared" si="14"/>
        <v>1947.6854293979911</v>
      </c>
      <c r="J14" s="12" t="s">
        <v>338</v>
      </c>
    </row>
    <row r="15" spans="1:11" x14ac:dyDescent="0.2">
      <c r="A15" s="12" t="s">
        <v>293</v>
      </c>
      <c r="B15" s="13">
        <f t="shared" ref="B15:G15" si="15">B35*B45</f>
        <v>418.23540000000008</v>
      </c>
      <c r="C15" s="13">
        <f t="shared" si="15"/>
        <v>491.04638100000005</v>
      </c>
      <c r="D15" s="13">
        <f t="shared" si="15"/>
        <v>567.22092515100007</v>
      </c>
      <c r="E15" s="13">
        <f t="shared" si="15"/>
        <v>714.88433976407998</v>
      </c>
      <c r="F15" s="13">
        <f t="shared" si="15"/>
        <v>829.26583412633272</v>
      </c>
      <c r="G15" s="13">
        <f t="shared" si="15"/>
        <v>895.6071008564395</v>
      </c>
      <c r="H15" s="13">
        <f t="shared" ref="H15:I15" si="16">H35*H45</f>
        <v>949.34352690782589</v>
      </c>
      <c r="I15" s="13">
        <f t="shared" si="16"/>
        <v>1006.3041385222955</v>
      </c>
      <c r="J15" s="12" t="s">
        <v>339</v>
      </c>
      <c r="K15" s="3"/>
    </row>
    <row r="16" spans="1:11" x14ac:dyDescent="0.2">
      <c r="A16" s="12" t="s">
        <v>291</v>
      </c>
      <c r="B16" s="13">
        <v>3020</v>
      </c>
      <c r="C16" s="13">
        <f>B16+'Exh. 3 Burton SOCF'!C21</f>
        <v>3880</v>
      </c>
      <c r="D16" s="13">
        <f>C16+'Exh. 3 Burton SOCF'!D21</f>
        <v>4580</v>
      </c>
      <c r="E16" s="13">
        <f>D16+'Exh. 3 Burton SOCF'!E21</f>
        <v>5080</v>
      </c>
      <c r="F16" s="13">
        <f>E16+'Exh. 3 Burton SOCF'!F21</f>
        <v>5230</v>
      </c>
      <c r="G16" s="13">
        <f>F16+'Exh. 3 Burton SOCF'!G21</f>
        <v>4930</v>
      </c>
      <c r="H16" s="13">
        <f>G16+'Exh. 3 Burton SOCF'!H21</f>
        <v>4530</v>
      </c>
      <c r="I16" s="13">
        <f>H16+'Exh. 3 Burton SOCF'!I21</f>
        <v>4030</v>
      </c>
      <c r="J16" s="23"/>
      <c r="K16" s="3"/>
    </row>
    <row r="17" spans="1:16" x14ac:dyDescent="0.2">
      <c r="A17" s="12" t="s">
        <v>340</v>
      </c>
      <c r="B17" s="13">
        <f>B74</f>
        <v>351.90000000000003</v>
      </c>
      <c r="C17" s="13">
        <f t="shared" ref="C17:G17" si="17">C74</f>
        <v>360.66617651000018</v>
      </c>
      <c r="D17" s="13">
        <f t="shared" si="17"/>
        <v>406.24451359182979</v>
      </c>
      <c r="E17" s="13">
        <f t="shared" si="17"/>
        <v>527.8957385222792</v>
      </c>
      <c r="F17" s="13">
        <f t="shared" si="17"/>
        <v>590.11921044584381</v>
      </c>
      <c r="G17" s="13">
        <f t="shared" si="17"/>
        <v>624.04955831699988</v>
      </c>
      <c r="H17" s="13">
        <f t="shared" ref="H17:I17" si="18">H74</f>
        <v>658.31486518083818</v>
      </c>
      <c r="I17" s="13">
        <f t="shared" si="18"/>
        <v>702.47237725168793</v>
      </c>
      <c r="J17" s="23"/>
      <c r="K17" s="3"/>
    </row>
    <row r="18" spans="1:16" x14ac:dyDescent="0.2">
      <c r="A18" s="9" t="s">
        <v>341</v>
      </c>
      <c r="B18" s="14">
        <f>B64</f>
        <v>150</v>
      </c>
      <c r="C18" s="14">
        <f t="shared" ref="C18:G18" si="19">C64</f>
        <v>150</v>
      </c>
      <c r="D18" s="14">
        <f t="shared" si="19"/>
        <v>150</v>
      </c>
      <c r="E18" s="14">
        <f t="shared" si="19"/>
        <v>150</v>
      </c>
      <c r="F18" s="14">
        <f t="shared" si="19"/>
        <v>150</v>
      </c>
      <c r="G18" s="14">
        <f t="shared" si="19"/>
        <v>150</v>
      </c>
      <c r="H18" s="14">
        <f t="shared" ref="H18:I18" si="20">H64</f>
        <v>150</v>
      </c>
      <c r="I18" s="14">
        <f t="shared" si="20"/>
        <v>150</v>
      </c>
      <c r="J18" s="23"/>
      <c r="K18" s="4"/>
    </row>
    <row r="19" spans="1:16" x14ac:dyDescent="0.2">
      <c r="A19" s="12" t="s">
        <v>342</v>
      </c>
      <c r="B19" s="13">
        <f t="shared" ref="B19:G19" si="21">SUM(B14:B18)</f>
        <v>4713.2371999999996</v>
      </c>
      <c r="C19" s="13">
        <f t="shared" si="21"/>
        <v>5817.0389975099997</v>
      </c>
      <c r="D19" s="13">
        <f t="shared" si="21"/>
        <v>6856.5046964268295</v>
      </c>
      <c r="E19" s="13">
        <f t="shared" si="21"/>
        <v>7856.4271875071599</v>
      </c>
      <c r="F19" s="13">
        <f t="shared" si="21"/>
        <v>8404.4156912683047</v>
      </c>
      <c r="G19" s="13">
        <f t="shared" si="21"/>
        <v>8333.0897576052575</v>
      </c>
      <c r="H19" s="13">
        <f t="shared" ref="H19:I19" si="22">SUM(H14:H18)</f>
        <v>8125.097476426391</v>
      </c>
      <c r="I19" s="13">
        <f t="shared" si="22"/>
        <v>7836.4619451719745</v>
      </c>
      <c r="J19" s="23"/>
    </row>
    <row r="20" spans="1:16" x14ac:dyDescent="0.2">
      <c r="A20" s="12"/>
      <c r="B20" s="13"/>
      <c r="C20" s="13"/>
      <c r="D20" s="13"/>
      <c r="E20" s="13"/>
      <c r="F20" s="13"/>
      <c r="G20" s="13"/>
      <c r="H20" s="13"/>
      <c r="I20" s="13"/>
      <c r="J20" s="23"/>
    </row>
    <row r="21" spans="1:16" x14ac:dyDescent="0.2">
      <c r="A21" s="9" t="s">
        <v>343</v>
      </c>
      <c r="B21" s="14">
        <f>B62</f>
        <v>1980</v>
      </c>
      <c r="C21" s="14">
        <f t="shared" ref="C21:G21" si="23">C62</f>
        <v>1830</v>
      </c>
      <c r="D21" s="14">
        <f t="shared" si="23"/>
        <v>1680</v>
      </c>
      <c r="E21" s="14">
        <f t="shared" si="23"/>
        <v>1530</v>
      </c>
      <c r="F21" s="14">
        <f t="shared" si="23"/>
        <v>1380</v>
      </c>
      <c r="G21" s="14">
        <f t="shared" si="23"/>
        <v>1230</v>
      </c>
      <c r="H21" s="14">
        <f t="shared" ref="H21:I21" si="24">H62</f>
        <v>1080</v>
      </c>
      <c r="I21" s="14">
        <f t="shared" si="24"/>
        <v>930</v>
      </c>
      <c r="J21" s="23"/>
    </row>
    <row r="22" spans="1:16" x14ac:dyDescent="0.2">
      <c r="A22" s="12" t="s">
        <v>344</v>
      </c>
      <c r="B22" s="13">
        <f t="shared" ref="B22:G22" si="25">SUM(B19:B21)</f>
        <v>6693.2371999999996</v>
      </c>
      <c r="C22" s="13">
        <f t="shared" si="25"/>
        <v>7647.0389975099997</v>
      </c>
      <c r="D22" s="13">
        <f t="shared" si="25"/>
        <v>8536.5046964268295</v>
      </c>
      <c r="E22" s="13">
        <f t="shared" si="25"/>
        <v>9386.4271875071609</v>
      </c>
      <c r="F22" s="13">
        <f t="shared" si="25"/>
        <v>9784.4156912683047</v>
      </c>
      <c r="G22" s="13">
        <f t="shared" si="25"/>
        <v>9563.0897576052575</v>
      </c>
      <c r="H22" s="13">
        <f t="shared" ref="H22:I22" si="26">SUM(H19:H21)</f>
        <v>9205.0974764263919</v>
      </c>
      <c r="I22" s="13">
        <f t="shared" si="26"/>
        <v>8766.4619451719736</v>
      </c>
      <c r="J22" s="23"/>
    </row>
    <row r="23" spans="1:16" x14ac:dyDescent="0.2">
      <c r="A23" s="12"/>
      <c r="B23" s="13"/>
      <c r="C23" s="13"/>
      <c r="D23" s="13"/>
      <c r="E23" s="13"/>
      <c r="F23" s="13"/>
      <c r="G23" s="13"/>
      <c r="H23" s="13"/>
      <c r="I23" s="13"/>
      <c r="J23" s="23"/>
    </row>
    <row r="24" spans="1:16" x14ac:dyDescent="0.2">
      <c r="A24" s="12" t="s">
        <v>295</v>
      </c>
      <c r="B24" s="13">
        <v>939.4</v>
      </c>
      <c r="C24" s="13">
        <f>B24+'Exh. 2 Burton IS'!C16</f>
        <v>1200.1131660900003</v>
      </c>
      <c r="D24" s="13">
        <f>C24+'Exh. 2 Burton IS'!D16</f>
        <v>1545.47181533197</v>
      </c>
      <c r="E24" s="13">
        <f>D24+'Exh. 2 Burton IS'!E16</f>
        <v>2116.754168016203</v>
      </c>
      <c r="F24" s="13">
        <f>E24+'Exh. 2 Burton IS'!F16</f>
        <v>2803.594397129913</v>
      </c>
      <c r="G24" s="13">
        <f>F24+'Exh. 2 Burton IS'!G16</f>
        <v>3553.448129432913</v>
      </c>
      <c r="H24" s="13">
        <f>G24+'Exh. 2 Burton IS'!H16</f>
        <v>4366.9374316258982</v>
      </c>
      <c r="I24" s="13">
        <f>H24+'Exh. 2 Burton IS'!I16</f>
        <v>5262.4335419504614</v>
      </c>
      <c r="J24" s="23"/>
      <c r="K24" s="6"/>
      <c r="L24" s="6"/>
      <c r="M24" s="6"/>
      <c r="N24" s="6"/>
      <c r="O24" s="6"/>
      <c r="P24" s="6"/>
    </row>
    <row r="25" spans="1:16" x14ac:dyDescent="0.2">
      <c r="A25" s="15" t="s">
        <v>296</v>
      </c>
      <c r="B25" s="16">
        <f>B22+B24</f>
        <v>7632.6371999999992</v>
      </c>
      <c r="C25" s="16">
        <f>C22+C24</f>
        <v>8847.1521635999998</v>
      </c>
      <c r="D25" s="16">
        <f t="shared" ref="D25:G25" si="27">D22+D24</f>
        <v>10081.976511758799</v>
      </c>
      <c r="E25" s="16">
        <f>E22+E24</f>
        <v>11503.181355523364</v>
      </c>
      <c r="F25" s="16">
        <f t="shared" si="27"/>
        <v>12588.010088398218</v>
      </c>
      <c r="G25" s="16">
        <f t="shared" si="27"/>
        <v>13116.53788703817</v>
      </c>
      <c r="H25" s="16">
        <f t="shared" ref="H25:I25" si="28">H22+H24</f>
        <v>13572.03490805229</v>
      </c>
      <c r="I25" s="16">
        <f t="shared" si="28"/>
        <v>14028.895487122434</v>
      </c>
      <c r="J25" s="23"/>
    </row>
    <row r="26" spans="1:16" x14ac:dyDescent="0.2">
      <c r="A26" s="12"/>
      <c r="B26" s="13"/>
      <c r="C26" s="13"/>
      <c r="D26" s="13"/>
      <c r="E26" s="13"/>
      <c r="F26" s="13"/>
      <c r="G26" s="13"/>
      <c r="H26" s="13"/>
      <c r="I26" s="13"/>
    </row>
    <row r="27" spans="1:16" x14ac:dyDescent="0.2">
      <c r="A27" s="17" t="s">
        <v>310</v>
      </c>
      <c r="B27" s="18">
        <f t="shared" ref="B27:I27" si="29">B16/(B6+B7)</f>
        <v>0.93629414343982864</v>
      </c>
      <c r="C27" s="18">
        <f t="shared" si="29"/>
        <v>0.97225413621366241</v>
      </c>
      <c r="D27" s="18">
        <f>$D$16/($D$6+$D$7)</f>
        <v>0.96387822450873428</v>
      </c>
      <c r="E27" s="18">
        <f t="shared" si="29"/>
        <v>0.87242527724506358</v>
      </c>
      <c r="F27" s="18">
        <f t="shared" si="29"/>
        <v>0.77429816046559918</v>
      </c>
      <c r="G27" s="18">
        <f t="shared" si="29"/>
        <v>0.6758179185424904</v>
      </c>
      <c r="H27" s="18">
        <f t="shared" si="29"/>
        <v>0.58583473745598413</v>
      </c>
      <c r="I27" s="18">
        <f t="shared" si="29"/>
        <v>0.49167270439160643</v>
      </c>
    </row>
    <row r="28" spans="1:16" x14ac:dyDescent="0.2">
      <c r="A28" s="12" t="s">
        <v>311</v>
      </c>
      <c r="B28" s="19">
        <f t="shared" ref="B28:I28" si="30">B22/B24</f>
        <v>7.1250129870129868</v>
      </c>
      <c r="C28" s="19">
        <f t="shared" si="30"/>
        <v>6.3719315924382789</v>
      </c>
      <c r="D28" s="19">
        <f>$D$22/$D$24</f>
        <v>5.5235589622145094</v>
      </c>
      <c r="E28" s="19">
        <f t="shared" si="30"/>
        <v>4.43434921699198</v>
      </c>
      <c r="F28" s="19">
        <f t="shared" si="30"/>
        <v>3.4899540751275495</v>
      </c>
      <c r="G28" s="19">
        <f t="shared" si="30"/>
        <v>2.6912141135239844</v>
      </c>
      <c r="H28" s="19">
        <f t="shared" si="30"/>
        <v>2.1079068845278028</v>
      </c>
      <c r="I28" s="19">
        <f t="shared" si="30"/>
        <v>1.6658570365380394</v>
      </c>
    </row>
    <row r="29" spans="1:16" x14ac:dyDescent="0.2">
      <c r="A29" s="9" t="s">
        <v>314</v>
      </c>
      <c r="B29" s="20">
        <f t="shared" ref="B29:I29" si="31">(B16+B18+B21)/B24</f>
        <v>5.48222269533745</v>
      </c>
      <c r="C29" s="20">
        <f t="shared" si="31"/>
        <v>4.8828728536426542</v>
      </c>
      <c r="D29" s="20">
        <f>($D$16+$D$18+$D$21)/$D$24</f>
        <v>4.1476007109344284</v>
      </c>
      <c r="E29" s="20">
        <f t="shared" si="31"/>
        <v>3.1935687677588902</v>
      </c>
      <c r="F29" s="20">
        <f t="shared" si="31"/>
        <v>2.4111904371475155</v>
      </c>
      <c r="G29" s="20">
        <f t="shared" si="31"/>
        <v>1.7757400052458341</v>
      </c>
      <c r="H29" s="20">
        <f t="shared" si="31"/>
        <v>1.3190021817774102</v>
      </c>
      <c r="I29" s="20">
        <f t="shared" si="31"/>
        <v>0.97103364047539809</v>
      </c>
    </row>
    <row r="30" spans="1:16" x14ac:dyDescent="0.2">
      <c r="A30" s="12"/>
      <c r="B30" s="21"/>
      <c r="C30" s="21"/>
      <c r="D30" s="21"/>
      <c r="E30" s="21"/>
      <c r="F30" s="21"/>
      <c r="G30" s="21"/>
      <c r="H30" s="21"/>
      <c r="I30" s="21"/>
    </row>
    <row r="31" spans="1:16" x14ac:dyDescent="0.2">
      <c r="A31" s="22" t="s">
        <v>345</v>
      </c>
      <c r="B31" s="12"/>
      <c r="C31" s="12"/>
      <c r="D31" s="13"/>
      <c r="E31" s="23"/>
      <c r="F31" s="12"/>
      <c r="G31" s="12"/>
      <c r="H31" s="12"/>
      <c r="I31" s="12"/>
    </row>
    <row r="32" spans="1:16" x14ac:dyDescent="0.2">
      <c r="A32" s="24" t="s">
        <v>346</v>
      </c>
      <c r="B32" s="12"/>
      <c r="C32" s="12"/>
      <c r="D32" s="12"/>
      <c r="E32" s="12"/>
      <c r="F32" s="12"/>
      <c r="G32" s="12"/>
      <c r="H32" s="12"/>
      <c r="I32" s="12"/>
    </row>
    <row r="33" spans="1:10" x14ac:dyDescent="0.2">
      <c r="A33" s="25"/>
      <c r="B33" s="26">
        <v>42004</v>
      </c>
      <c r="C33" s="26">
        <f>EOMONTH(B33,12)</f>
        <v>42369</v>
      </c>
      <c r="D33" s="26">
        <f t="shared" ref="D33" si="32">EOMONTH(C33,12)</f>
        <v>42735</v>
      </c>
      <c r="E33" s="27">
        <f t="shared" ref="E33" si="33">EOMONTH(D33,12)</f>
        <v>43100</v>
      </c>
      <c r="F33" s="27">
        <f t="shared" ref="F33" si="34">EOMONTH(E33,12)</f>
        <v>43465</v>
      </c>
      <c r="G33" s="27">
        <f t="shared" ref="G33:I33" si="35">EOMONTH(F33,12)</f>
        <v>43830</v>
      </c>
      <c r="H33" s="27">
        <f t="shared" si="35"/>
        <v>44196</v>
      </c>
      <c r="I33" s="27">
        <f t="shared" si="35"/>
        <v>44561</v>
      </c>
    </row>
    <row r="34" spans="1:10" s="54" customFormat="1" x14ac:dyDescent="0.2">
      <c r="A34" s="39" t="s">
        <v>347</v>
      </c>
      <c r="B34" s="36"/>
      <c r="C34" s="36"/>
      <c r="D34" s="36"/>
      <c r="E34" s="36"/>
      <c r="F34" s="36"/>
      <c r="G34" s="36"/>
      <c r="H34" s="36"/>
      <c r="I34" s="36"/>
      <c r="J34" s="36"/>
    </row>
    <row r="35" spans="1:10" s="54" customFormat="1" x14ac:dyDescent="0.2">
      <c r="A35" s="36" t="s">
        <v>348</v>
      </c>
      <c r="B35" s="55">
        <f>'Exh. 2 Burton IS'!B5</f>
        <v>6336.9000000000005</v>
      </c>
      <c r="C35" s="55">
        <f>'Exh. 2 Burton IS'!C5</f>
        <v>7794.3870000000006</v>
      </c>
      <c r="D35" s="55">
        <f>'Exh. 2 Burton IS'!D5</f>
        <v>9298.7036910000006</v>
      </c>
      <c r="E35" s="55">
        <f>'Exh. 2 Burton IS'!E5</f>
        <v>11530.39257684</v>
      </c>
      <c r="F35" s="55">
        <f>'Exh. 2 Burton IS'!F5</f>
        <v>13375.2553891344</v>
      </c>
      <c r="G35" s="55">
        <f>'Exh. 2 Burton IS'!G5</f>
        <v>14445.275820265153</v>
      </c>
      <c r="H35" s="55">
        <f>'Exh. 2 Burton IS'!H5</f>
        <v>15311.992369481062</v>
      </c>
      <c r="I35" s="55">
        <f>'Exh. 2 Burton IS'!I5</f>
        <v>16230.711911649927</v>
      </c>
      <c r="J35" s="36"/>
    </row>
    <row r="36" spans="1:10" s="54" customFormat="1" x14ac:dyDescent="0.2">
      <c r="A36" s="36" t="s">
        <v>349</v>
      </c>
      <c r="B36" s="55">
        <f>'Exh. 2 Burton IS'!B6</f>
        <v>2686.8456000000001</v>
      </c>
      <c r="C36" s="55">
        <f>'Exh. 2 Burton IS'!C6</f>
        <v>3359.3807970000003</v>
      </c>
      <c r="D36" s="55">
        <f>'Exh. 2 Burton IS'!D6</f>
        <v>4035.637401894</v>
      </c>
      <c r="E36" s="55">
        <f>'Exh. 2 Burton IS'!E6</f>
        <v>4958.0688080412001</v>
      </c>
      <c r="F36" s="55">
        <f>'Exh. 2 Burton IS'!F6</f>
        <v>5751.3598173277915</v>
      </c>
      <c r="G36" s="55">
        <f>'Exh. 2 Burton IS'!G6</f>
        <v>6211.468602714016</v>
      </c>
      <c r="H36" s="55">
        <f>'Exh. 2 Burton IS'!H6</f>
        <v>6584.1567188768568</v>
      </c>
      <c r="I36" s="55">
        <f>'Exh. 2 Burton IS'!I6</f>
        <v>6979.2061220094683</v>
      </c>
      <c r="J36" s="36"/>
    </row>
    <row r="37" spans="1:10" s="54" customFormat="1" x14ac:dyDescent="0.2">
      <c r="A37" s="36"/>
      <c r="B37" s="56"/>
      <c r="C37" s="56"/>
      <c r="D37" s="56"/>
      <c r="E37" s="56"/>
      <c r="F37" s="56"/>
      <c r="G37" s="56"/>
      <c r="H37" s="56"/>
      <c r="I37" s="56"/>
      <c r="J37" s="36"/>
    </row>
    <row r="38" spans="1:10" s="54" customFormat="1" x14ac:dyDescent="0.2">
      <c r="A38" s="39" t="s">
        <v>350</v>
      </c>
      <c r="B38" s="56"/>
      <c r="C38" s="56"/>
      <c r="D38" s="56"/>
      <c r="E38" s="56"/>
      <c r="F38" s="56"/>
      <c r="G38" s="56"/>
      <c r="H38" s="56"/>
      <c r="I38" s="56"/>
      <c r="J38" s="36"/>
    </row>
    <row r="39" spans="1:10" s="54" customFormat="1" x14ac:dyDescent="0.2">
      <c r="A39" s="36" t="s">
        <v>351</v>
      </c>
      <c r="B39" s="57">
        <v>0.245</v>
      </c>
      <c r="C39" s="57">
        <v>0.24299999999999999</v>
      </c>
      <c r="D39" s="57">
        <v>0.249</v>
      </c>
      <c r="E39" s="57">
        <v>0.245</v>
      </c>
      <c r="F39" s="57">
        <v>0.245</v>
      </c>
      <c r="G39" s="57">
        <v>0.245</v>
      </c>
      <c r="H39" s="57">
        <v>0.245</v>
      </c>
      <c r="I39" s="57">
        <v>0.245</v>
      </c>
      <c r="J39" s="36"/>
    </row>
    <row r="40" spans="1:10" s="54" customFormat="1" x14ac:dyDescent="0.2">
      <c r="A40" s="36" t="s">
        <v>352</v>
      </c>
      <c r="B40" s="57">
        <v>0.26400000000000001</v>
      </c>
      <c r="C40" s="57">
        <v>0.26900000000000002</v>
      </c>
      <c r="D40" s="57">
        <v>0.26200000000000001</v>
      </c>
      <c r="E40" s="57">
        <v>0.26</v>
      </c>
      <c r="F40" s="57">
        <v>0.26</v>
      </c>
      <c r="G40" s="57">
        <v>0.26</v>
      </c>
      <c r="H40" s="57">
        <v>0.26</v>
      </c>
      <c r="I40" s="57">
        <v>0.26</v>
      </c>
      <c r="J40" s="36"/>
    </row>
    <row r="41" spans="1:10" s="54" customFormat="1" x14ac:dyDescent="0.2">
      <c r="A41" s="36" t="s">
        <v>353</v>
      </c>
      <c r="B41" s="57">
        <v>0.122</v>
      </c>
      <c r="C41" s="57">
        <v>0.12</v>
      </c>
      <c r="D41" s="57">
        <v>0.124</v>
      </c>
      <c r="E41" s="57">
        <v>0.12</v>
      </c>
      <c r="F41" s="57">
        <v>0.12</v>
      </c>
      <c r="G41" s="57">
        <v>0.12</v>
      </c>
      <c r="H41" s="57">
        <v>0.12</v>
      </c>
      <c r="I41" s="57">
        <v>0.12</v>
      </c>
      <c r="J41" s="36"/>
    </row>
    <row r="42" spans="1:10" s="54" customFormat="1" x14ac:dyDescent="0.2">
      <c r="A42" s="36"/>
      <c r="B42" s="36"/>
      <c r="C42" s="36"/>
      <c r="D42" s="36"/>
      <c r="E42" s="36"/>
      <c r="F42" s="36"/>
      <c r="G42" s="36"/>
      <c r="H42" s="36"/>
      <c r="I42" s="36"/>
      <c r="J42" s="36"/>
    </row>
    <row r="43" spans="1:10" s="54" customFormat="1" x14ac:dyDescent="0.2">
      <c r="A43" s="39" t="s">
        <v>354</v>
      </c>
      <c r="B43" s="36"/>
      <c r="C43" s="36"/>
      <c r="D43" s="36"/>
      <c r="E43" s="36"/>
      <c r="F43" s="36"/>
      <c r="G43" s="36"/>
      <c r="H43" s="36"/>
      <c r="I43" s="36"/>
      <c r="J43" s="36"/>
    </row>
    <row r="44" spans="1:10" s="54" customFormat="1" x14ac:dyDescent="0.2">
      <c r="A44" s="36" t="s">
        <v>355</v>
      </c>
      <c r="B44" s="57">
        <v>0.04</v>
      </c>
      <c r="C44" s="57">
        <v>0.04</v>
      </c>
      <c r="D44" s="57">
        <v>0.04</v>
      </c>
      <c r="E44" s="57">
        <f>+AVERAGE(B44:D44)</f>
        <v>0.04</v>
      </c>
      <c r="F44" s="57">
        <f t="shared" ref="F44:I45" si="36">+E44</f>
        <v>0.04</v>
      </c>
      <c r="G44" s="57">
        <f t="shared" si="36"/>
        <v>0.04</v>
      </c>
      <c r="H44" s="57">
        <f t="shared" si="36"/>
        <v>0.04</v>
      </c>
      <c r="I44" s="57">
        <f t="shared" si="36"/>
        <v>0.04</v>
      </c>
      <c r="J44" s="36"/>
    </row>
    <row r="45" spans="1:10" s="54" customFormat="1" x14ac:dyDescent="0.2">
      <c r="A45" s="36" t="s">
        <v>356</v>
      </c>
      <c r="B45" s="57">
        <v>6.6000000000000003E-2</v>
      </c>
      <c r="C45" s="57">
        <v>6.3E-2</v>
      </c>
      <c r="D45" s="57">
        <v>6.0999999999999999E-2</v>
      </c>
      <c r="E45" s="57">
        <v>6.2E-2</v>
      </c>
      <c r="F45" s="57">
        <f t="shared" si="36"/>
        <v>6.2E-2</v>
      </c>
      <c r="G45" s="57">
        <f t="shared" si="36"/>
        <v>6.2E-2</v>
      </c>
      <c r="H45" s="57">
        <f t="shared" si="36"/>
        <v>6.2E-2</v>
      </c>
      <c r="I45" s="57">
        <f t="shared" si="36"/>
        <v>6.2E-2</v>
      </c>
      <c r="J45" s="36"/>
    </row>
    <row r="46" spans="1:10" s="54" customFormat="1" x14ac:dyDescent="0.2">
      <c r="A46" s="36"/>
      <c r="B46" s="36"/>
      <c r="C46" s="36"/>
      <c r="D46" s="36"/>
      <c r="E46" s="36"/>
      <c r="F46" s="36"/>
      <c r="G46" s="36"/>
      <c r="H46" s="36"/>
      <c r="I46" s="36"/>
      <c r="J46" s="36"/>
    </row>
    <row r="47" spans="1:10" s="54" customFormat="1" x14ac:dyDescent="0.2">
      <c r="A47" s="25"/>
      <c r="B47" s="26">
        <v>42004</v>
      </c>
      <c r="C47" s="26">
        <f>EOMONTH(B47,12)</f>
        <v>42369</v>
      </c>
      <c r="D47" s="26">
        <f t="shared" ref="D47" si="37">EOMONTH(C47,12)</f>
        <v>42735</v>
      </c>
      <c r="E47" s="27">
        <f t="shared" ref="E47" si="38">EOMONTH(D47,12)</f>
        <v>43100</v>
      </c>
      <c r="F47" s="27">
        <f t="shared" ref="F47" si="39">EOMONTH(E47,12)</f>
        <v>43465</v>
      </c>
      <c r="G47" s="27">
        <f t="shared" ref="G47:I47" si="40">EOMONTH(F47,12)</f>
        <v>43830</v>
      </c>
      <c r="H47" s="27">
        <f t="shared" si="40"/>
        <v>44196</v>
      </c>
      <c r="I47" s="27">
        <f t="shared" si="40"/>
        <v>44561</v>
      </c>
      <c r="J47" s="36"/>
    </row>
    <row r="48" spans="1:10" s="54" customFormat="1" x14ac:dyDescent="0.2">
      <c r="A48" s="36" t="s">
        <v>357</v>
      </c>
      <c r="B48" s="29">
        <v>3618</v>
      </c>
      <c r="C48" s="29">
        <f>B51</f>
        <v>3874.0107599999997</v>
      </c>
      <c r="D48" s="29">
        <f>C51</f>
        <v>4293.3487805999994</v>
      </c>
      <c r="E48" s="29">
        <f t="shared" ref="E48:I48" si="41">D51</f>
        <v>4654.1384838107997</v>
      </c>
      <c r="F48" s="29">
        <f t="shared" si="41"/>
        <v>4847.8490791017121</v>
      </c>
      <c r="G48" s="29">
        <f t="shared" si="41"/>
        <v>4938.8008157478262</v>
      </c>
      <c r="H48" s="29">
        <f t="shared" si="41"/>
        <v>4875.2416021386589</v>
      </c>
      <c r="I48" s="29">
        <f t="shared" si="41"/>
        <v>4789.4944448695651</v>
      </c>
      <c r="J48" s="36"/>
    </row>
    <row r="49" spans="1:10" x14ac:dyDescent="0.2">
      <c r="A49" s="12" t="s">
        <v>358</v>
      </c>
      <c r="B49" s="29">
        <f t="shared" ref="B49:I49" si="42">-B35*B53</f>
        <v>-98.855640000000008</v>
      </c>
      <c r="C49" s="29">
        <f t="shared" si="42"/>
        <v>-102.88590839999999</v>
      </c>
      <c r="D49" s="29">
        <f t="shared" si="42"/>
        <v>-122.74288872119999</v>
      </c>
      <c r="E49" s="29">
        <f t="shared" si="42"/>
        <v>-152.20118201428798</v>
      </c>
      <c r="F49" s="29">
        <f t="shared" si="42"/>
        <v>-176.55337113657404</v>
      </c>
      <c r="G49" s="29">
        <f t="shared" si="42"/>
        <v>-208.0119718118182</v>
      </c>
      <c r="H49" s="29">
        <f t="shared" si="42"/>
        <v>-238.86708096390456</v>
      </c>
      <c r="I49" s="29">
        <f t="shared" si="42"/>
        <v>-253.19910582173884</v>
      </c>
    </row>
    <row r="50" spans="1:10" x14ac:dyDescent="0.2">
      <c r="A50" s="9" t="s">
        <v>359</v>
      </c>
      <c r="B50" s="30">
        <f t="shared" ref="B50:I50" si="43">B35*B54</f>
        <v>354.86640000000006</v>
      </c>
      <c r="C50" s="30">
        <f t="shared" si="43"/>
        <v>522.22392900000011</v>
      </c>
      <c r="D50" s="30">
        <f t="shared" si="43"/>
        <v>483.532591932</v>
      </c>
      <c r="E50" s="30">
        <f t="shared" si="43"/>
        <v>345.91177730520002</v>
      </c>
      <c r="F50" s="30">
        <f t="shared" si="43"/>
        <v>267.50510778268801</v>
      </c>
      <c r="G50" s="30">
        <f t="shared" si="43"/>
        <v>144.45275820265152</v>
      </c>
      <c r="H50" s="30">
        <f t="shared" si="43"/>
        <v>153.11992369481064</v>
      </c>
      <c r="I50" s="30">
        <f t="shared" si="43"/>
        <v>162.30711911649928</v>
      </c>
    </row>
    <row r="51" spans="1:10" x14ac:dyDescent="0.2">
      <c r="A51" s="12" t="s">
        <v>360</v>
      </c>
      <c r="B51" s="29">
        <f t="shared" ref="B51:G51" si="44">SUM(B48:B50)</f>
        <v>3874.0107599999997</v>
      </c>
      <c r="C51" s="29">
        <f t="shared" si="44"/>
        <v>4293.3487805999994</v>
      </c>
      <c r="D51" s="29">
        <f t="shared" si="44"/>
        <v>4654.1384838107997</v>
      </c>
      <c r="E51" s="29">
        <f t="shared" si="44"/>
        <v>4847.8490791017121</v>
      </c>
      <c r="F51" s="29">
        <f t="shared" si="44"/>
        <v>4938.8008157478262</v>
      </c>
      <c r="G51" s="29">
        <f t="shared" si="44"/>
        <v>4875.2416021386589</v>
      </c>
      <c r="H51" s="29">
        <f t="shared" ref="H51:I51" si="45">SUM(H48:H50)</f>
        <v>4789.4944448695651</v>
      </c>
      <c r="I51" s="29">
        <f t="shared" si="45"/>
        <v>4698.6024581643251</v>
      </c>
      <c r="J51" s="28"/>
    </row>
    <row r="52" spans="1:10" x14ac:dyDescent="0.2">
      <c r="A52" s="12"/>
      <c r="B52" s="12"/>
      <c r="C52" s="12"/>
      <c r="D52" s="12"/>
      <c r="E52" s="12"/>
      <c r="F52" s="12"/>
      <c r="G52" s="12"/>
      <c r="H52" s="12"/>
      <c r="I52" s="12"/>
    </row>
    <row r="53" spans="1:10" s="54" customFormat="1" x14ac:dyDescent="0.2">
      <c r="A53" s="36" t="s">
        <v>361</v>
      </c>
      <c r="B53" s="53">
        <v>1.5599999999999999E-2</v>
      </c>
      <c r="C53" s="53">
        <v>1.3199999999999998E-2</v>
      </c>
      <c r="D53" s="53">
        <v>1.3199999999999998E-2</v>
      </c>
      <c r="E53" s="53">
        <v>1.3199999999999998E-2</v>
      </c>
      <c r="F53" s="53">
        <v>1.3199999999999998E-2</v>
      </c>
      <c r="G53" s="53">
        <v>1.44E-2</v>
      </c>
      <c r="H53" s="53">
        <v>1.5599999999999999E-2</v>
      </c>
      <c r="I53" s="53">
        <v>1.5599999999999999E-2</v>
      </c>
      <c r="J53" s="36"/>
    </row>
    <row r="54" spans="1:10" s="54" customFormat="1" x14ac:dyDescent="0.2">
      <c r="A54" s="36" t="s">
        <v>362</v>
      </c>
      <c r="B54" s="53">
        <v>5.6000000000000001E-2</v>
      </c>
      <c r="C54" s="53">
        <v>6.7000000000000004E-2</v>
      </c>
      <c r="D54" s="53">
        <v>5.1999999999999998E-2</v>
      </c>
      <c r="E54" s="53">
        <v>0.03</v>
      </c>
      <c r="F54" s="53">
        <v>0.02</v>
      </c>
      <c r="G54" s="53">
        <v>0.01</v>
      </c>
      <c r="H54" s="53">
        <v>0.01</v>
      </c>
      <c r="I54" s="53">
        <v>0.01</v>
      </c>
      <c r="J54" s="36"/>
    </row>
    <row r="55" spans="1:10" s="54" customFormat="1" x14ac:dyDescent="0.2">
      <c r="A55" s="36"/>
      <c r="B55" s="53"/>
      <c r="C55" s="53"/>
      <c r="D55" s="53"/>
      <c r="E55" s="53"/>
      <c r="F55" s="53"/>
      <c r="G55" s="53"/>
      <c r="H55" s="53"/>
      <c r="I55" s="53"/>
      <c r="J55" s="36"/>
    </row>
    <row r="56" spans="1:10" s="54" customFormat="1" x14ac:dyDescent="0.2">
      <c r="A56" s="37" t="s">
        <v>363</v>
      </c>
      <c r="B56" s="36"/>
      <c r="C56" s="36"/>
      <c r="D56" s="36"/>
      <c r="E56" s="36"/>
      <c r="F56" s="36"/>
      <c r="G56" s="36"/>
      <c r="H56" s="36"/>
      <c r="I56" s="36"/>
      <c r="J56" s="36"/>
    </row>
    <row r="57" spans="1:10" s="54" customFormat="1" x14ac:dyDescent="0.2">
      <c r="A57" s="25"/>
      <c r="B57" s="26">
        <v>42004</v>
      </c>
      <c r="C57" s="26">
        <f>EOMONTH(B57,12)</f>
        <v>42369</v>
      </c>
      <c r="D57" s="26">
        <f t="shared" ref="D57" si="46">EOMONTH(C57,12)</f>
        <v>42735</v>
      </c>
      <c r="E57" s="27">
        <f t="shared" ref="E57" si="47">EOMONTH(D57,12)</f>
        <v>43100</v>
      </c>
      <c r="F57" s="27">
        <f t="shared" ref="F57" si="48">EOMONTH(E57,12)</f>
        <v>43465</v>
      </c>
      <c r="G57" s="27">
        <f t="shared" ref="G57:I57" si="49">EOMONTH(F57,12)</f>
        <v>43830</v>
      </c>
      <c r="H57" s="27">
        <f t="shared" si="49"/>
        <v>44196</v>
      </c>
      <c r="I57" s="27">
        <f t="shared" si="49"/>
        <v>44561</v>
      </c>
      <c r="J57" s="36"/>
    </row>
    <row r="58" spans="1:10" s="54" customFormat="1" x14ac:dyDescent="0.2">
      <c r="A58" s="36" t="s">
        <v>364</v>
      </c>
      <c r="B58" s="29">
        <v>2280</v>
      </c>
      <c r="C58" s="29">
        <f>B61</f>
        <v>2130</v>
      </c>
      <c r="D58" s="29">
        <f t="shared" ref="D58:I58" si="50">C61</f>
        <v>1980</v>
      </c>
      <c r="E58" s="29">
        <f>D61</f>
        <v>1830</v>
      </c>
      <c r="F58" s="29">
        <f t="shared" si="50"/>
        <v>1680</v>
      </c>
      <c r="G58" s="29">
        <f t="shared" si="50"/>
        <v>1530</v>
      </c>
      <c r="H58" s="29">
        <f t="shared" si="50"/>
        <v>1380</v>
      </c>
      <c r="I58" s="29">
        <f t="shared" si="50"/>
        <v>1230</v>
      </c>
      <c r="J58" s="36"/>
    </row>
    <row r="59" spans="1:10" s="54" customFormat="1" x14ac:dyDescent="0.2">
      <c r="A59" s="36" t="s">
        <v>365</v>
      </c>
      <c r="B59" s="29">
        <v>0</v>
      </c>
      <c r="C59" s="29">
        <v>0</v>
      </c>
      <c r="D59" s="29">
        <v>0</v>
      </c>
      <c r="E59" s="29">
        <v>0</v>
      </c>
      <c r="F59" s="29">
        <v>0</v>
      </c>
      <c r="G59" s="29">
        <v>0</v>
      </c>
      <c r="H59" s="29">
        <v>0</v>
      </c>
      <c r="I59" s="29">
        <v>0</v>
      </c>
      <c r="J59" s="36"/>
    </row>
    <row r="60" spans="1:10" s="54" customFormat="1" x14ac:dyDescent="0.2">
      <c r="A60" s="32" t="s">
        <v>366</v>
      </c>
      <c r="B60" s="30">
        <f>-B64</f>
        <v>-150</v>
      </c>
      <c r="C60" s="30">
        <f>-B64</f>
        <v>-150</v>
      </c>
      <c r="D60" s="30">
        <f>-C64</f>
        <v>-150</v>
      </c>
      <c r="E60" s="30">
        <f t="shared" ref="E60:I60" si="51">-D64</f>
        <v>-150</v>
      </c>
      <c r="F60" s="30">
        <f t="shared" si="51"/>
        <v>-150</v>
      </c>
      <c r="G60" s="30">
        <f t="shared" si="51"/>
        <v>-150</v>
      </c>
      <c r="H60" s="30">
        <f t="shared" si="51"/>
        <v>-150</v>
      </c>
      <c r="I60" s="30">
        <f t="shared" si="51"/>
        <v>-150</v>
      </c>
      <c r="J60" s="36"/>
    </row>
    <row r="61" spans="1:10" s="54" customFormat="1" x14ac:dyDescent="0.2">
      <c r="A61" s="36" t="s">
        <v>367</v>
      </c>
      <c r="B61" s="29">
        <f>SUM(B58:B60)</f>
        <v>2130</v>
      </c>
      <c r="C61" s="29">
        <f t="shared" ref="C61:G61" si="52">SUM(C58:C60)</f>
        <v>1980</v>
      </c>
      <c r="D61" s="29">
        <f t="shared" si="52"/>
        <v>1830</v>
      </c>
      <c r="E61" s="29">
        <f t="shared" si="52"/>
        <v>1680</v>
      </c>
      <c r="F61" s="29">
        <f t="shared" si="52"/>
        <v>1530</v>
      </c>
      <c r="G61" s="29">
        <f t="shared" si="52"/>
        <v>1380</v>
      </c>
      <c r="H61" s="29">
        <f t="shared" ref="H61:I61" si="53">SUM(H58:H60)</f>
        <v>1230</v>
      </c>
      <c r="I61" s="29">
        <f t="shared" si="53"/>
        <v>1080</v>
      </c>
      <c r="J61" s="36"/>
    </row>
    <row r="62" spans="1:10" s="54" customFormat="1" x14ac:dyDescent="0.2">
      <c r="A62" s="36" t="s">
        <v>368</v>
      </c>
      <c r="B62" s="29">
        <f>B61-B64</f>
        <v>1980</v>
      </c>
      <c r="C62" s="29">
        <f t="shared" ref="C62:G62" si="54">C61-C64</f>
        <v>1830</v>
      </c>
      <c r="D62" s="29">
        <f t="shared" si="54"/>
        <v>1680</v>
      </c>
      <c r="E62" s="29">
        <f t="shared" si="54"/>
        <v>1530</v>
      </c>
      <c r="F62" s="29">
        <f t="shared" si="54"/>
        <v>1380</v>
      </c>
      <c r="G62" s="29">
        <f t="shared" si="54"/>
        <v>1230</v>
      </c>
      <c r="H62" s="29">
        <f t="shared" ref="H62:I62" si="55">H61-H64</f>
        <v>1080</v>
      </c>
      <c r="I62" s="29">
        <f t="shared" si="55"/>
        <v>930</v>
      </c>
      <c r="J62" s="36"/>
    </row>
    <row r="63" spans="1:10" s="54" customFormat="1" x14ac:dyDescent="0.2">
      <c r="A63" s="36"/>
      <c r="B63" s="29"/>
      <c r="C63" s="29"/>
      <c r="D63" s="29"/>
      <c r="E63" s="29"/>
      <c r="F63" s="29"/>
      <c r="G63" s="29"/>
      <c r="H63" s="29"/>
      <c r="I63" s="29"/>
      <c r="J63" s="36"/>
    </row>
    <row r="64" spans="1:10" s="54" customFormat="1" x14ac:dyDescent="0.2">
      <c r="A64" s="36" t="s">
        <v>369</v>
      </c>
      <c r="B64" s="29">
        <v>150</v>
      </c>
      <c r="C64" s="29">
        <v>150</v>
      </c>
      <c r="D64" s="29">
        <v>150</v>
      </c>
      <c r="E64" s="29">
        <v>150</v>
      </c>
      <c r="F64" s="29">
        <v>150</v>
      </c>
      <c r="G64" s="29">
        <v>150</v>
      </c>
      <c r="H64" s="29">
        <v>150</v>
      </c>
      <c r="I64" s="29">
        <v>150</v>
      </c>
      <c r="J64" s="36"/>
    </row>
    <row r="65" spans="1:10" s="54" customFormat="1" x14ac:dyDescent="0.2">
      <c r="A65" s="36"/>
      <c r="B65" s="53"/>
      <c r="C65" s="53"/>
      <c r="D65" s="53"/>
      <c r="E65" s="53"/>
      <c r="F65" s="53"/>
      <c r="G65" s="53"/>
      <c r="H65" s="53"/>
      <c r="I65" s="53"/>
      <c r="J65" s="36"/>
    </row>
    <row r="66" spans="1:10" s="54" customFormat="1" x14ac:dyDescent="0.2">
      <c r="A66" s="36" t="s">
        <v>370</v>
      </c>
      <c r="B66" s="53">
        <v>5.5E-2</v>
      </c>
      <c r="C66" s="53">
        <v>5.5E-2</v>
      </c>
      <c r="D66" s="53">
        <v>5.5E-2</v>
      </c>
      <c r="E66" s="53">
        <v>5.5E-2</v>
      </c>
      <c r="F66" s="53">
        <v>5.5E-2</v>
      </c>
      <c r="G66" s="53">
        <v>5.5E-2</v>
      </c>
      <c r="H66" s="53">
        <v>5.5E-2</v>
      </c>
      <c r="I66" s="53">
        <v>5.5E-2</v>
      </c>
      <c r="J66" s="36"/>
    </row>
    <row r="67" spans="1:10" s="54" customFormat="1" x14ac:dyDescent="0.2">
      <c r="A67" s="36" t="s">
        <v>371</v>
      </c>
      <c r="B67" s="29">
        <f>(B58+B16-'Exh. 3 Burton SOCF'!B21)*B66</f>
        <v>247.5</v>
      </c>
      <c r="C67" s="29">
        <f t="shared" ref="C67:I67" si="56">(C58+B16)*C66</f>
        <v>283.25</v>
      </c>
      <c r="D67" s="29">
        <f t="shared" si="56"/>
        <v>322.3</v>
      </c>
      <c r="E67" s="29">
        <f t="shared" si="56"/>
        <v>352.55</v>
      </c>
      <c r="F67" s="29">
        <f t="shared" si="56"/>
        <v>371.8</v>
      </c>
      <c r="G67" s="29">
        <f t="shared" si="56"/>
        <v>371.8</v>
      </c>
      <c r="H67" s="29">
        <f t="shared" si="56"/>
        <v>347.05</v>
      </c>
      <c r="I67" s="29">
        <f t="shared" si="56"/>
        <v>316.8</v>
      </c>
      <c r="J67" s="36"/>
    </row>
    <row r="68" spans="1:10" s="54" customFormat="1" x14ac:dyDescent="0.2">
      <c r="A68" s="36"/>
      <c r="B68" s="53"/>
      <c r="C68" s="53"/>
      <c r="D68" s="53"/>
      <c r="E68" s="53"/>
      <c r="F68" s="53"/>
      <c r="G68" s="53"/>
      <c r="H68" s="53"/>
      <c r="I68" s="53"/>
      <c r="J68" s="36"/>
    </row>
    <row r="69" spans="1:10" s="54" customFormat="1" x14ac:dyDescent="0.2">
      <c r="A69" s="37" t="s">
        <v>372</v>
      </c>
      <c r="B69" s="36"/>
      <c r="C69" s="36"/>
      <c r="D69" s="36"/>
      <c r="E69" s="36"/>
      <c r="F69" s="36"/>
      <c r="G69" s="36"/>
      <c r="H69" s="36"/>
      <c r="I69" s="36"/>
      <c r="J69" s="36"/>
    </row>
    <row r="70" spans="1:10" s="54" customFormat="1" x14ac:dyDescent="0.2">
      <c r="A70" s="25"/>
      <c r="B70" s="26">
        <v>42004</v>
      </c>
      <c r="C70" s="26">
        <f>EOMONTH(B70,12)</f>
        <v>42369</v>
      </c>
      <c r="D70" s="26">
        <f t="shared" ref="D70" si="57">EOMONTH(C70,12)</f>
        <v>42735</v>
      </c>
      <c r="E70" s="27">
        <f t="shared" ref="E70" si="58">EOMONTH(D70,12)</f>
        <v>43100</v>
      </c>
      <c r="F70" s="27">
        <f t="shared" ref="F70" si="59">EOMONTH(E70,12)</f>
        <v>43465</v>
      </c>
      <c r="G70" s="27">
        <f t="shared" ref="G70:I70" si="60">EOMONTH(F70,12)</f>
        <v>43830</v>
      </c>
      <c r="H70" s="27">
        <f t="shared" si="60"/>
        <v>44196</v>
      </c>
      <c r="I70" s="27">
        <f t="shared" si="60"/>
        <v>44561</v>
      </c>
      <c r="J70" s="36"/>
    </row>
    <row r="71" spans="1:10" s="54" customFormat="1" x14ac:dyDescent="0.2">
      <c r="A71" s="36" t="s">
        <v>373</v>
      </c>
      <c r="B71" s="29">
        <v>515.75216399999999</v>
      </c>
      <c r="C71" s="29">
        <f>B74</f>
        <v>351.90000000000003</v>
      </c>
      <c r="D71" s="29">
        <f t="shared" ref="D71:I71" si="61">C74</f>
        <v>360.66617651000018</v>
      </c>
      <c r="E71" s="29">
        <f t="shared" si="61"/>
        <v>406.24451359182979</v>
      </c>
      <c r="F71" s="29">
        <f t="shared" si="61"/>
        <v>527.8957385222792</v>
      </c>
      <c r="G71" s="29">
        <f t="shared" si="61"/>
        <v>590.11921044584381</v>
      </c>
      <c r="H71" s="29">
        <f t="shared" si="61"/>
        <v>624.04955831699988</v>
      </c>
      <c r="I71" s="29">
        <f t="shared" si="61"/>
        <v>658.31486518083818</v>
      </c>
      <c r="J71" s="36"/>
    </row>
    <row r="72" spans="1:10" s="54" customFormat="1" x14ac:dyDescent="0.2">
      <c r="A72" s="36" t="s">
        <v>374</v>
      </c>
      <c r="B72" s="29">
        <f>'Exh. 2 Burton IS'!B15</f>
        <v>131.61783600000001</v>
      </c>
      <c r="C72" s="29">
        <f>'Exh. 2 Burton IS'!C15</f>
        <v>140.38401251000016</v>
      </c>
      <c r="D72" s="29">
        <f>'Exh. 2 Burton IS'!D15</f>
        <v>185.96234959182979</v>
      </c>
      <c r="E72" s="29">
        <f>'Exh. 2 Burton IS'!E15</f>
        <v>307.61357452227924</v>
      </c>
      <c r="F72" s="29">
        <f>'Exh. 2 Burton IS'!F15</f>
        <v>369.83704644584384</v>
      </c>
      <c r="G72" s="29">
        <f>'Exh. 2 Burton IS'!G15</f>
        <v>403.76739431699991</v>
      </c>
      <c r="H72" s="29">
        <f>'Exh. 2 Burton IS'!H15</f>
        <v>438.0327011808381</v>
      </c>
      <c r="I72" s="29">
        <f>'Exh. 2 Burton IS'!I15</f>
        <v>482.19021325168791</v>
      </c>
      <c r="J72" s="36"/>
    </row>
    <row r="73" spans="1:10" s="54" customFormat="1" x14ac:dyDescent="0.2">
      <c r="A73" s="32" t="s">
        <v>375</v>
      </c>
      <c r="B73" s="30">
        <v>295.46999999999997</v>
      </c>
      <c r="C73" s="30">
        <f>C76*'Exh. 2 Burton IS'!B13</f>
        <v>131.61783600000001</v>
      </c>
      <c r="D73" s="30">
        <f>D76*'Exh. 2 Burton IS'!C13</f>
        <v>140.38401251000016</v>
      </c>
      <c r="E73" s="30">
        <f>E76*'Exh. 2 Burton IS'!D13</f>
        <v>185.96234959182979</v>
      </c>
      <c r="F73" s="30">
        <f>F76*'Exh. 2 Burton IS'!E13</f>
        <v>307.61357452227924</v>
      </c>
      <c r="G73" s="30">
        <f>G76*'Exh. 2 Burton IS'!F13</f>
        <v>369.83704644584384</v>
      </c>
      <c r="H73" s="30">
        <f>H76*'Exh. 2 Burton IS'!G13</f>
        <v>403.76739431699991</v>
      </c>
      <c r="I73" s="30">
        <f>I76*'Exh. 2 Burton IS'!H13</f>
        <v>438.0327011808381</v>
      </c>
      <c r="J73" s="36"/>
    </row>
    <row r="74" spans="1:10" s="54" customFormat="1" x14ac:dyDescent="0.2">
      <c r="A74" s="36" t="s">
        <v>376</v>
      </c>
      <c r="B74" s="29">
        <f>B71+B72-B73</f>
        <v>351.90000000000003</v>
      </c>
      <c r="C74" s="29">
        <f>C71+C72-C73</f>
        <v>360.66617651000018</v>
      </c>
      <c r="D74" s="29">
        <f t="shared" ref="D74:G74" si="62">D71+D72-D73</f>
        <v>406.24451359182979</v>
      </c>
      <c r="E74" s="29">
        <f t="shared" si="62"/>
        <v>527.8957385222792</v>
      </c>
      <c r="F74" s="29">
        <f t="shared" si="62"/>
        <v>590.11921044584381</v>
      </c>
      <c r="G74" s="29">
        <f t="shared" si="62"/>
        <v>624.04955831699988</v>
      </c>
      <c r="H74" s="29">
        <f t="shared" ref="H74:I74" si="63">H71+H72-H73</f>
        <v>658.31486518083818</v>
      </c>
      <c r="I74" s="29">
        <f t="shared" si="63"/>
        <v>702.47237725168793</v>
      </c>
      <c r="J74" s="36"/>
    </row>
    <row r="75" spans="1:10" s="54" customFormat="1" x14ac:dyDescent="0.2">
      <c r="A75" s="36"/>
      <c r="B75" s="36"/>
      <c r="C75" s="36"/>
      <c r="D75" s="36"/>
      <c r="E75" s="29"/>
      <c r="F75" s="36"/>
      <c r="G75" s="36"/>
      <c r="H75" s="36"/>
      <c r="I75" s="36"/>
      <c r="J75" s="36"/>
    </row>
    <row r="76" spans="1:10" s="54" customFormat="1" x14ac:dyDescent="0.2">
      <c r="A76" s="36" t="s">
        <v>377</v>
      </c>
      <c r="B76" s="53">
        <v>0.35</v>
      </c>
      <c r="C76" s="53">
        <v>0.35</v>
      </c>
      <c r="D76" s="53">
        <v>0.35</v>
      </c>
      <c r="E76" s="53">
        <v>0.35</v>
      </c>
      <c r="F76" s="53">
        <v>0.35</v>
      </c>
      <c r="G76" s="53">
        <v>0.35</v>
      </c>
      <c r="H76" s="53">
        <v>0.35</v>
      </c>
      <c r="I76" s="53">
        <v>0.35</v>
      </c>
      <c r="J76" s="36"/>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J35"/>
  <sheetViews>
    <sheetView showGridLines="0" zoomScale="120" zoomScaleNormal="120" workbookViewId="0">
      <selection activeCell="F5" sqref="F5"/>
    </sheetView>
  </sheetViews>
  <sheetFormatPr baseColWidth="10" defaultColWidth="11" defaultRowHeight="12" x14ac:dyDescent="0.15"/>
  <cols>
    <col min="1" max="1" width="30.1640625" style="1" customWidth="1"/>
    <col min="2" max="2" width="6.1640625" style="1" bestFit="1" customWidth="1"/>
    <col min="3" max="4" width="6.6640625" style="1" bestFit="1" customWidth="1"/>
    <col min="5" max="6" width="7.6640625" style="1" bestFit="1" customWidth="1"/>
    <col min="7" max="9" width="6.83203125" style="1" bestFit="1" customWidth="1"/>
    <col min="10" max="10" width="11" style="5"/>
    <col min="11" max="16384" width="11" style="1"/>
  </cols>
  <sheetData>
    <row r="1" spans="1:10" s="12" customFormat="1" ht="14" x14ac:dyDescent="0.2">
      <c r="A1" s="24" t="s">
        <v>378</v>
      </c>
      <c r="B1" s="36"/>
      <c r="C1" s="36"/>
      <c r="D1" s="36"/>
      <c r="E1" s="36"/>
      <c r="F1" s="36"/>
      <c r="G1" s="36"/>
      <c r="H1" s="36"/>
      <c r="I1" s="36"/>
    </row>
    <row r="2" spans="1:10" s="12" customFormat="1" ht="14" x14ac:dyDescent="0.2">
      <c r="A2" s="24" t="s">
        <v>379</v>
      </c>
      <c r="B2" s="36"/>
      <c r="C2" s="36"/>
      <c r="D2" s="36"/>
      <c r="E2" s="36"/>
      <c r="F2" s="36"/>
      <c r="G2" s="36"/>
      <c r="H2" s="36"/>
      <c r="I2" s="36"/>
    </row>
    <row r="3" spans="1:10" s="12" customFormat="1" ht="14" x14ac:dyDescent="0.2">
      <c r="A3" s="8"/>
      <c r="B3" s="32"/>
      <c r="C3" s="32"/>
      <c r="D3" s="32"/>
      <c r="E3" s="32"/>
      <c r="F3" s="32"/>
      <c r="G3" s="32"/>
      <c r="H3" s="32"/>
      <c r="I3" s="32"/>
    </row>
    <row r="4" spans="1:10" s="12" customFormat="1" ht="14" x14ac:dyDescent="0.2">
      <c r="A4" s="8"/>
      <c r="B4" s="10">
        <v>42004</v>
      </c>
      <c r="C4" s="10">
        <f>EOMONTH(B4,12)</f>
        <v>42369</v>
      </c>
      <c r="D4" s="10">
        <f t="shared" ref="D4:I4" si="0">EOMONTH(C4,12)</f>
        <v>42735</v>
      </c>
      <c r="E4" s="11">
        <f t="shared" si="0"/>
        <v>43100</v>
      </c>
      <c r="F4" s="11">
        <f t="shared" si="0"/>
        <v>43465</v>
      </c>
      <c r="G4" s="11">
        <f t="shared" si="0"/>
        <v>43830</v>
      </c>
      <c r="H4" s="11">
        <f t="shared" si="0"/>
        <v>44196</v>
      </c>
      <c r="I4" s="11">
        <f t="shared" si="0"/>
        <v>44561</v>
      </c>
    </row>
    <row r="5" spans="1:10" s="12" customFormat="1" ht="14" x14ac:dyDescent="0.2">
      <c r="A5" s="12" t="s">
        <v>257</v>
      </c>
      <c r="B5" s="28">
        <v>6336.9000000000005</v>
      </c>
      <c r="C5" s="28">
        <f>B5*(1+C26)</f>
        <v>7794.3870000000006</v>
      </c>
      <c r="D5" s="28">
        <f t="shared" ref="D5:I5" si="1">C5*(1+D26)</f>
        <v>9298.7036910000006</v>
      </c>
      <c r="E5" s="28">
        <f t="shared" si="1"/>
        <v>11530.39257684</v>
      </c>
      <c r="F5" s="28">
        <f t="shared" si="1"/>
        <v>13375.2553891344</v>
      </c>
      <c r="G5" s="28">
        <f t="shared" si="1"/>
        <v>14445.275820265153</v>
      </c>
      <c r="H5" s="28">
        <f t="shared" si="1"/>
        <v>15311.992369481062</v>
      </c>
      <c r="I5" s="28">
        <f t="shared" si="1"/>
        <v>16230.711911649927</v>
      </c>
    </row>
    <row r="6" spans="1:10" s="12" customFormat="1" ht="14" x14ac:dyDescent="0.2">
      <c r="A6" s="9" t="s">
        <v>86</v>
      </c>
      <c r="B6" s="31">
        <f t="shared" ref="B6:I6" si="2">B5*B29</f>
        <v>2686.8456000000001</v>
      </c>
      <c r="C6" s="31">
        <f t="shared" si="2"/>
        <v>3359.3807970000003</v>
      </c>
      <c r="D6" s="31">
        <f t="shared" si="2"/>
        <v>4035.637401894</v>
      </c>
      <c r="E6" s="31">
        <f t="shared" si="2"/>
        <v>4958.0688080412001</v>
      </c>
      <c r="F6" s="31">
        <f t="shared" si="2"/>
        <v>5751.3598173277915</v>
      </c>
      <c r="G6" s="31">
        <f t="shared" si="2"/>
        <v>6211.468602714016</v>
      </c>
      <c r="H6" s="31">
        <f t="shared" si="2"/>
        <v>6584.1567188768568</v>
      </c>
      <c r="I6" s="31">
        <f t="shared" si="2"/>
        <v>6979.2061220094683</v>
      </c>
      <c r="J6" s="12" t="s">
        <v>380</v>
      </c>
    </row>
    <row r="7" spans="1:10" s="12" customFormat="1" ht="14" x14ac:dyDescent="0.2">
      <c r="A7" s="12" t="s">
        <v>258</v>
      </c>
      <c r="B7" s="28">
        <f>B5-B6</f>
        <v>3650.0544000000004</v>
      </c>
      <c r="C7" s="28">
        <f t="shared" ref="C7:G7" si="3">C5-C6</f>
        <v>4435.0062030000008</v>
      </c>
      <c r="D7" s="28">
        <f t="shared" si="3"/>
        <v>5263.0662891060001</v>
      </c>
      <c r="E7" s="28">
        <f t="shared" si="3"/>
        <v>6572.3237687988003</v>
      </c>
      <c r="F7" s="28">
        <f t="shared" si="3"/>
        <v>7623.8955718066081</v>
      </c>
      <c r="G7" s="28">
        <f t="shared" si="3"/>
        <v>8233.807217551137</v>
      </c>
      <c r="H7" s="28">
        <f t="shared" ref="H7:I7" si="4">H5-H6</f>
        <v>8727.8356506042055</v>
      </c>
      <c r="I7" s="28">
        <f t="shared" si="4"/>
        <v>9251.5057896404578</v>
      </c>
    </row>
    <row r="8" spans="1:10" s="12" customFormat="1" ht="14" x14ac:dyDescent="0.2"/>
    <row r="9" spans="1:10" s="12" customFormat="1" ht="14" x14ac:dyDescent="0.2">
      <c r="A9" s="12" t="s">
        <v>260</v>
      </c>
      <c r="B9" s="28">
        <f t="shared" ref="B9:I9" si="5">B5*B30</f>
        <v>2230.5888</v>
      </c>
      <c r="C9" s="28">
        <f t="shared" si="5"/>
        <v>2790.3905460000001</v>
      </c>
      <c r="D9" s="28">
        <f t="shared" si="5"/>
        <v>3263.8449955410001</v>
      </c>
      <c r="E9" s="28">
        <f t="shared" si="5"/>
        <v>4035.637401894</v>
      </c>
      <c r="F9" s="28">
        <f t="shared" si="5"/>
        <v>4681.3393861970399</v>
      </c>
      <c r="G9" s="28">
        <f t="shared" si="5"/>
        <v>5055.8465370928034</v>
      </c>
      <c r="H9" s="28">
        <f t="shared" si="5"/>
        <v>5359.1973293183719</v>
      </c>
      <c r="I9" s="28">
        <f t="shared" si="5"/>
        <v>5680.7491690774741</v>
      </c>
      <c r="J9" s="12" t="s">
        <v>381</v>
      </c>
    </row>
    <row r="10" spans="1:10" s="12" customFormat="1" ht="14" x14ac:dyDescent="0.2">
      <c r="A10" s="12" t="s">
        <v>262</v>
      </c>
      <c r="B10" s="28">
        <f t="shared" ref="B10:I10" si="6">B5*B31</f>
        <v>697.05900000000008</v>
      </c>
      <c r="C10" s="28">
        <f t="shared" si="6"/>
        <v>857.3825700000001</v>
      </c>
      <c r="D10" s="28">
        <f t="shared" si="6"/>
        <v>1022.8574060100001</v>
      </c>
      <c r="E10" s="28">
        <f t="shared" si="6"/>
        <v>1153.0392576840002</v>
      </c>
      <c r="F10" s="28">
        <f t="shared" si="6"/>
        <v>1337.52553891344</v>
      </c>
      <c r="G10" s="28">
        <f t="shared" si="6"/>
        <v>1444.5275820265153</v>
      </c>
      <c r="H10" s="28">
        <f t="shared" si="6"/>
        <v>1531.1992369481063</v>
      </c>
      <c r="I10" s="28">
        <f t="shared" si="6"/>
        <v>1623.0711911649928</v>
      </c>
      <c r="J10" s="12" t="s">
        <v>382</v>
      </c>
    </row>
    <row r="11" spans="1:10" s="12" customFormat="1" ht="14" x14ac:dyDescent="0.2">
      <c r="A11" s="12" t="s">
        <v>263</v>
      </c>
      <c r="B11" s="28">
        <f>-'Exh. 1 Burton BS'!B49</f>
        <v>98.855640000000008</v>
      </c>
      <c r="C11" s="28">
        <f>-'Exh. 1 Burton BS'!C49</f>
        <v>102.88590839999999</v>
      </c>
      <c r="D11" s="28">
        <f>-'Exh. 1 Burton BS'!D49</f>
        <v>122.74288872119999</v>
      </c>
      <c r="E11" s="28">
        <f>-'Exh. 1 Burton BS'!E49</f>
        <v>152.20118201428798</v>
      </c>
      <c r="F11" s="28">
        <f>-'Exh. 1 Burton BS'!F49</f>
        <v>176.55337113657404</v>
      </c>
      <c r="G11" s="28">
        <f>-'Exh. 1 Burton BS'!G49</f>
        <v>208.0119718118182</v>
      </c>
      <c r="H11" s="28">
        <f>-'Exh. 1 Burton BS'!H49</f>
        <v>238.86708096390456</v>
      </c>
      <c r="I11" s="28">
        <f>-'Exh. 1 Burton BS'!I49</f>
        <v>253.19910582173884</v>
      </c>
    </row>
    <row r="12" spans="1:10" s="12" customFormat="1" ht="16" x14ac:dyDescent="0.2">
      <c r="A12" s="9" t="s">
        <v>383</v>
      </c>
      <c r="B12" s="31">
        <f>'Exh. 1 Burton BS'!B67</f>
        <v>247.5</v>
      </c>
      <c r="C12" s="31">
        <f>'Exh. 1 Burton BS'!C67</f>
        <v>283.25</v>
      </c>
      <c r="D12" s="31">
        <f>'Exh. 1 Burton BS'!D67</f>
        <v>322.3</v>
      </c>
      <c r="E12" s="31">
        <f>'Exh. 1 Burton BS'!E67</f>
        <v>352.55</v>
      </c>
      <c r="F12" s="31">
        <f>'Exh. 1 Burton BS'!F67</f>
        <v>371.8</v>
      </c>
      <c r="G12" s="31">
        <f>'Exh. 1 Burton BS'!G67</f>
        <v>371.8</v>
      </c>
      <c r="H12" s="31">
        <f>'Exh. 1 Burton BS'!H67</f>
        <v>347.05</v>
      </c>
      <c r="I12" s="31">
        <f>'Exh. 1 Burton BS'!I67</f>
        <v>316.8</v>
      </c>
    </row>
    <row r="13" spans="1:10" s="12" customFormat="1" ht="14" x14ac:dyDescent="0.2">
      <c r="A13" s="12" t="s">
        <v>267</v>
      </c>
      <c r="B13" s="28">
        <f>B7-SUM(B9:B12)</f>
        <v>376.05096000000003</v>
      </c>
      <c r="C13" s="28">
        <f t="shared" ref="C13:G13" si="7">C7-SUM(C9:C12)</f>
        <v>401.09717860000046</v>
      </c>
      <c r="D13" s="28">
        <f t="shared" si="7"/>
        <v>531.32099883379942</v>
      </c>
      <c r="E13" s="28">
        <f>E7-SUM(E9:E12)</f>
        <v>878.89592720651217</v>
      </c>
      <c r="F13" s="28">
        <f t="shared" si="7"/>
        <v>1056.6772755595539</v>
      </c>
      <c r="G13" s="28">
        <f t="shared" si="7"/>
        <v>1153.6211266199998</v>
      </c>
      <c r="H13" s="28">
        <f t="shared" ref="H13:I13" si="8">H7-SUM(H9:H12)</f>
        <v>1251.5220033738233</v>
      </c>
      <c r="I13" s="28">
        <f t="shared" si="8"/>
        <v>1377.6863235762512</v>
      </c>
    </row>
    <row r="14" spans="1:10" s="12" customFormat="1" ht="14" x14ac:dyDescent="0.2">
      <c r="B14" s="33"/>
      <c r="C14" s="33"/>
      <c r="D14" s="33"/>
      <c r="E14" s="33"/>
      <c r="F14" s="33"/>
      <c r="G14" s="33"/>
      <c r="H14" s="33"/>
      <c r="I14" s="33"/>
    </row>
    <row r="15" spans="1:10" s="12" customFormat="1" ht="14" x14ac:dyDescent="0.2">
      <c r="A15" s="9" t="s">
        <v>270</v>
      </c>
      <c r="B15" s="31">
        <f t="shared" ref="B15:I15" si="9">B13*B34</f>
        <v>131.61783600000001</v>
      </c>
      <c r="C15" s="31">
        <f t="shared" si="9"/>
        <v>140.38401251000016</v>
      </c>
      <c r="D15" s="31">
        <f t="shared" si="9"/>
        <v>185.96234959182979</v>
      </c>
      <c r="E15" s="31">
        <f t="shared" si="9"/>
        <v>307.61357452227924</v>
      </c>
      <c r="F15" s="31">
        <f t="shared" si="9"/>
        <v>369.83704644584384</v>
      </c>
      <c r="G15" s="31">
        <f t="shared" si="9"/>
        <v>403.76739431699991</v>
      </c>
      <c r="H15" s="31">
        <f t="shared" si="9"/>
        <v>438.0327011808381</v>
      </c>
      <c r="I15" s="31">
        <f t="shared" si="9"/>
        <v>482.19021325168791</v>
      </c>
      <c r="J15" s="12" t="s">
        <v>384</v>
      </c>
    </row>
    <row r="16" spans="1:10" s="12" customFormat="1" ht="14" x14ac:dyDescent="0.2">
      <c r="A16" s="12" t="s">
        <v>272</v>
      </c>
      <c r="B16" s="28">
        <f>B13-B15</f>
        <v>244.43312400000002</v>
      </c>
      <c r="C16" s="28">
        <f t="shared" ref="C16:G16" si="10">C13-C15</f>
        <v>260.7131660900003</v>
      </c>
      <c r="D16" s="28">
        <f t="shared" si="10"/>
        <v>345.3586492419696</v>
      </c>
      <c r="E16" s="28">
        <f>E13-E15</f>
        <v>571.28235268423293</v>
      </c>
      <c r="F16" s="28">
        <f t="shared" si="10"/>
        <v>686.84022911371005</v>
      </c>
      <c r="G16" s="28">
        <f t="shared" si="10"/>
        <v>749.8537323029999</v>
      </c>
      <c r="H16" s="28">
        <f t="shared" ref="H16:I16" si="11">H13-H15</f>
        <v>813.48930219298518</v>
      </c>
      <c r="I16" s="28">
        <f t="shared" si="11"/>
        <v>895.49611032456323</v>
      </c>
    </row>
    <row r="17" spans="1:10" s="12" customFormat="1" ht="14" x14ac:dyDescent="0.2">
      <c r="B17" s="33"/>
      <c r="C17" s="33"/>
      <c r="D17" s="33"/>
      <c r="E17" s="33"/>
      <c r="F17" s="33"/>
      <c r="G17" s="33"/>
      <c r="H17" s="33"/>
      <c r="I17" s="33"/>
    </row>
    <row r="18" spans="1:10" s="12" customFormat="1" ht="14" x14ac:dyDescent="0.2">
      <c r="A18" s="12" t="s">
        <v>274</v>
      </c>
      <c r="B18" s="33">
        <v>1500</v>
      </c>
      <c r="C18" s="33">
        <v>1500</v>
      </c>
      <c r="D18" s="33">
        <v>1500</v>
      </c>
      <c r="E18" s="33">
        <v>1500</v>
      </c>
      <c r="F18" s="33">
        <v>1500</v>
      </c>
      <c r="G18" s="33">
        <v>1500</v>
      </c>
      <c r="H18" s="33">
        <v>1500</v>
      </c>
      <c r="I18" s="33">
        <v>1500</v>
      </c>
    </row>
    <row r="19" spans="1:10" s="12" customFormat="1" ht="14" x14ac:dyDescent="0.2">
      <c r="A19" s="12" t="s">
        <v>276</v>
      </c>
      <c r="B19" s="34">
        <f t="shared" ref="B19:I19" si="12">B16/B18</f>
        <v>0.16295541600000002</v>
      </c>
      <c r="C19" s="34">
        <f t="shared" si="12"/>
        <v>0.17380877739333353</v>
      </c>
      <c r="D19" s="34">
        <f t="shared" si="12"/>
        <v>0.23023909949464641</v>
      </c>
      <c r="E19" s="34">
        <f t="shared" si="12"/>
        <v>0.38085490178948861</v>
      </c>
      <c r="F19" s="34">
        <f t="shared" si="12"/>
        <v>0.45789348607580671</v>
      </c>
      <c r="G19" s="34">
        <f t="shared" si="12"/>
        <v>0.49990248820199995</v>
      </c>
      <c r="H19" s="34">
        <f t="shared" si="12"/>
        <v>0.54232620146199007</v>
      </c>
      <c r="I19" s="34">
        <f t="shared" si="12"/>
        <v>0.59699740688304215</v>
      </c>
    </row>
    <row r="20" spans="1:10" s="12" customFormat="1" ht="14" x14ac:dyDescent="0.2">
      <c r="A20" s="9" t="s">
        <v>277</v>
      </c>
      <c r="B20" s="35">
        <v>0</v>
      </c>
      <c r="C20" s="35">
        <v>0</v>
      </c>
      <c r="D20" s="35">
        <v>0</v>
      </c>
      <c r="E20" s="35">
        <v>0</v>
      </c>
      <c r="F20" s="35">
        <v>0</v>
      </c>
      <c r="G20" s="35">
        <v>0</v>
      </c>
      <c r="H20" s="35">
        <v>0</v>
      </c>
      <c r="I20" s="35">
        <v>0</v>
      </c>
    </row>
    <row r="21" spans="1:10" s="12" customFormat="1" ht="16" x14ac:dyDescent="0.2">
      <c r="A21" s="36" t="s">
        <v>385</v>
      </c>
      <c r="B21" s="34"/>
      <c r="C21" s="34"/>
      <c r="D21" s="34"/>
      <c r="E21" s="33"/>
      <c r="F21" s="33"/>
      <c r="G21" s="33"/>
      <c r="H21" s="33"/>
      <c r="I21" s="33"/>
    </row>
    <row r="22" spans="1:10" s="12" customFormat="1" ht="14" x14ac:dyDescent="0.2">
      <c r="A22" s="36"/>
      <c r="B22" s="33"/>
      <c r="C22" s="33"/>
      <c r="D22" s="33"/>
      <c r="E22" s="33"/>
      <c r="F22" s="33"/>
      <c r="G22" s="33"/>
      <c r="H22" s="33"/>
      <c r="I22" s="33"/>
    </row>
    <row r="23" spans="1:10" s="12" customFormat="1" ht="14" x14ac:dyDescent="0.2">
      <c r="A23" s="22" t="s">
        <v>345</v>
      </c>
      <c r="B23" s="76"/>
      <c r="C23" s="76"/>
      <c r="D23" s="76"/>
      <c r="E23" s="76"/>
      <c r="F23" s="76"/>
      <c r="G23" s="76"/>
      <c r="H23" s="76"/>
      <c r="I23" s="76"/>
    </row>
    <row r="24" spans="1:10" s="12" customFormat="1" ht="14" x14ac:dyDescent="0.2">
      <c r="A24" s="37" t="s">
        <v>386</v>
      </c>
      <c r="B24" s="33"/>
      <c r="C24" s="33"/>
      <c r="D24" s="33"/>
      <c r="E24" s="33"/>
      <c r="F24" s="33"/>
      <c r="G24" s="33"/>
      <c r="H24" s="33"/>
      <c r="I24" s="33"/>
    </row>
    <row r="25" spans="1:10" s="12" customFormat="1" ht="14" x14ac:dyDescent="0.2">
      <c r="A25" s="38"/>
      <c r="B25" s="26">
        <v>42004</v>
      </c>
      <c r="C25" s="26">
        <f>EOMONTH(B25,12)</f>
        <v>42369</v>
      </c>
      <c r="D25" s="26">
        <f t="shared" ref="D25" si="13">EOMONTH(C25,12)</f>
        <v>42735</v>
      </c>
      <c r="E25" s="27">
        <f t="shared" ref="E25" si="14">EOMONTH(D25,12)</f>
        <v>43100</v>
      </c>
      <c r="F25" s="27">
        <f t="shared" ref="F25" si="15">EOMONTH(E25,12)</f>
        <v>43465</v>
      </c>
      <c r="G25" s="27">
        <f t="shared" ref="G25:I25" si="16">EOMONTH(F25,12)</f>
        <v>43830</v>
      </c>
      <c r="H25" s="27">
        <f t="shared" si="16"/>
        <v>44196</v>
      </c>
      <c r="I25" s="27">
        <f t="shared" si="16"/>
        <v>44561</v>
      </c>
    </row>
    <row r="26" spans="1:10" s="36" customFormat="1" ht="14" x14ac:dyDescent="0.2">
      <c r="A26" s="36" t="s">
        <v>387</v>
      </c>
      <c r="B26" s="58"/>
      <c r="C26" s="53">
        <v>0.23</v>
      </c>
      <c r="D26" s="53">
        <v>0.193</v>
      </c>
      <c r="E26" s="53">
        <v>0.24</v>
      </c>
      <c r="F26" s="53">
        <v>0.16</v>
      </c>
      <c r="G26" s="53">
        <v>0.08</v>
      </c>
      <c r="H26" s="53">
        <v>0.06</v>
      </c>
      <c r="I26" s="53">
        <v>0.06</v>
      </c>
    </row>
    <row r="27" spans="1:10" s="36" customFormat="1" ht="14" x14ac:dyDescent="0.2">
      <c r="B27" s="59"/>
      <c r="C27" s="59"/>
      <c r="D27" s="59"/>
      <c r="E27" s="59"/>
      <c r="F27" s="59"/>
      <c r="G27" s="59"/>
      <c r="H27" s="59"/>
      <c r="I27" s="59"/>
    </row>
    <row r="28" spans="1:10" s="36" customFormat="1" ht="14" x14ac:dyDescent="0.2">
      <c r="A28" s="39" t="s">
        <v>388</v>
      </c>
      <c r="B28" s="59"/>
      <c r="C28" s="59"/>
      <c r="D28" s="59"/>
      <c r="E28" s="59"/>
      <c r="F28" s="59"/>
      <c r="G28" s="59"/>
      <c r="H28" s="59"/>
      <c r="I28" s="59"/>
    </row>
    <row r="29" spans="1:10" s="36" customFormat="1" ht="14" x14ac:dyDescent="0.2">
      <c r="A29" s="36" t="s">
        <v>86</v>
      </c>
      <c r="B29" s="53">
        <v>0.42399999999999999</v>
      </c>
      <c r="C29" s="53">
        <v>0.43099999999999999</v>
      </c>
      <c r="D29" s="53">
        <v>0.434</v>
      </c>
      <c r="E29" s="53">
        <v>0.43</v>
      </c>
      <c r="F29" s="53">
        <v>0.43</v>
      </c>
      <c r="G29" s="53">
        <v>0.43</v>
      </c>
      <c r="H29" s="53">
        <v>0.43</v>
      </c>
      <c r="I29" s="53">
        <v>0.43</v>
      </c>
    </row>
    <row r="30" spans="1:10" s="36" customFormat="1" ht="14" x14ac:dyDescent="0.2">
      <c r="A30" s="36" t="s">
        <v>260</v>
      </c>
      <c r="B30" s="53">
        <v>0.35199999999999998</v>
      </c>
      <c r="C30" s="53">
        <v>0.35799999999999998</v>
      </c>
      <c r="D30" s="53">
        <v>0.35099999999999998</v>
      </c>
      <c r="E30" s="53">
        <v>0.35</v>
      </c>
      <c r="F30" s="53">
        <v>0.35</v>
      </c>
      <c r="G30" s="53">
        <v>0.35</v>
      </c>
      <c r="H30" s="53">
        <v>0.35</v>
      </c>
      <c r="I30" s="53">
        <v>0.35</v>
      </c>
      <c r="J30" s="59"/>
    </row>
    <row r="31" spans="1:10" s="36" customFormat="1" ht="14" x14ac:dyDescent="0.2">
      <c r="A31" s="36" t="s">
        <v>262</v>
      </c>
      <c r="B31" s="53">
        <v>0.11</v>
      </c>
      <c r="C31" s="53">
        <v>0.11</v>
      </c>
      <c r="D31" s="53">
        <v>0.11</v>
      </c>
      <c r="E31" s="53">
        <v>0.1</v>
      </c>
      <c r="F31" s="53">
        <v>0.1</v>
      </c>
      <c r="G31" s="53">
        <v>0.1</v>
      </c>
      <c r="H31" s="53">
        <v>0.1</v>
      </c>
      <c r="I31" s="53">
        <v>0.1</v>
      </c>
    </row>
    <row r="32" spans="1:10" s="36" customFormat="1" ht="14" x14ac:dyDescent="0.2">
      <c r="B32" s="53"/>
      <c r="C32" s="53"/>
      <c r="D32" s="53"/>
      <c r="E32" s="53"/>
      <c r="F32" s="53"/>
      <c r="G32" s="53"/>
      <c r="H32" s="53"/>
      <c r="I32" s="53"/>
    </row>
    <row r="33" spans="1:9" s="36" customFormat="1" ht="14" x14ac:dyDescent="0.2">
      <c r="B33" s="59"/>
      <c r="C33" s="59"/>
      <c r="D33" s="59"/>
      <c r="E33" s="59"/>
      <c r="F33" s="59"/>
      <c r="G33" s="59"/>
      <c r="H33" s="59"/>
      <c r="I33" s="59"/>
    </row>
    <row r="34" spans="1:9" s="36" customFormat="1" ht="14" x14ac:dyDescent="0.2">
      <c r="A34" s="36" t="s">
        <v>389</v>
      </c>
      <c r="B34" s="60">
        <v>0.35</v>
      </c>
      <c r="C34" s="60">
        <v>0.35</v>
      </c>
      <c r="D34" s="60">
        <v>0.35</v>
      </c>
      <c r="E34" s="60">
        <v>0.35</v>
      </c>
      <c r="F34" s="60">
        <v>0.35</v>
      </c>
      <c r="G34" s="60">
        <v>0.35</v>
      </c>
      <c r="H34" s="60">
        <v>0.35</v>
      </c>
      <c r="I34" s="60">
        <v>0.35</v>
      </c>
    </row>
    <row r="35" spans="1:9" s="36" customFormat="1" ht="14" x14ac:dyDescent="0.2">
      <c r="A35" s="32" t="s">
        <v>390</v>
      </c>
      <c r="B35" s="40">
        <f>B20/B19</f>
        <v>0</v>
      </c>
      <c r="C35" s="40">
        <f t="shared" ref="C35:D35" si="17">C20/C19</f>
        <v>0</v>
      </c>
      <c r="D35" s="40">
        <f t="shared" si="17"/>
        <v>0</v>
      </c>
      <c r="E35" s="40"/>
      <c r="F35" s="40"/>
      <c r="G35" s="40"/>
      <c r="H35" s="40"/>
      <c r="I35" s="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J32"/>
  <sheetViews>
    <sheetView showGridLines="0" zoomScale="125" zoomScaleNormal="100" workbookViewId="0">
      <selection activeCell="E14" sqref="E14"/>
    </sheetView>
  </sheetViews>
  <sheetFormatPr baseColWidth="10" defaultColWidth="11" defaultRowHeight="12" x14ac:dyDescent="0.15"/>
  <cols>
    <col min="1" max="1" width="37.33203125" style="1" customWidth="1"/>
    <col min="2" max="9" width="5.33203125" style="1" bestFit="1" customWidth="1"/>
    <col min="10" max="16384" width="11" style="1"/>
  </cols>
  <sheetData>
    <row r="1" spans="1:10" s="12" customFormat="1" ht="14" x14ac:dyDescent="0.2">
      <c r="A1" s="24" t="s">
        <v>391</v>
      </c>
    </row>
    <row r="2" spans="1:10" s="12" customFormat="1" ht="14" x14ac:dyDescent="0.2">
      <c r="A2" s="24" t="s">
        <v>392</v>
      </c>
    </row>
    <row r="3" spans="1:10" s="12" customFormat="1" ht="14" x14ac:dyDescent="0.2">
      <c r="A3" s="8"/>
      <c r="B3" s="9"/>
      <c r="C3" s="9"/>
      <c r="D3" s="9"/>
      <c r="E3" s="9"/>
      <c r="F3" s="9"/>
      <c r="G3" s="9"/>
      <c r="H3" s="9"/>
      <c r="I3" s="9"/>
    </row>
    <row r="4" spans="1:10" s="12" customFormat="1" ht="14" x14ac:dyDescent="0.2">
      <c r="A4" s="41"/>
      <c r="B4" s="42">
        <v>42004</v>
      </c>
      <c r="C4" s="42">
        <f>EOMONTH(B4,12)</f>
        <v>42369</v>
      </c>
      <c r="D4" s="42">
        <f t="shared" ref="D4:I4" si="0">EOMONTH(C4,12)</f>
        <v>42735</v>
      </c>
      <c r="E4" s="43">
        <f t="shared" si="0"/>
        <v>43100</v>
      </c>
      <c r="F4" s="43">
        <f t="shared" si="0"/>
        <v>43465</v>
      </c>
      <c r="G4" s="43">
        <f t="shared" si="0"/>
        <v>43830</v>
      </c>
      <c r="H4" s="43">
        <f t="shared" si="0"/>
        <v>44196</v>
      </c>
      <c r="I4" s="43">
        <f t="shared" si="0"/>
        <v>44561</v>
      </c>
    </row>
    <row r="5" spans="1:10" s="12" customFormat="1" ht="14" x14ac:dyDescent="0.2">
      <c r="A5" s="37" t="s">
        <v>393</v>
      </c>
    </row>
    <row r="6" spans="1:10" s="12" customFormat="1" ht="14" x14ac:dyDescent="0.2">
      <c r="A6" s="12" t="s">
        <v>272</v>
      </c>
      <c r="B6" s="28">
        <f>'Exh. 2 Burton IS'!B16</f>
        <v>244.43312400000002</v>
      </c>
      <c r="C6" s="28">
        <f>'Exh. 2 Burton IS'!C16</f>
        <v>260.7131660900003</v>
      </c>
      <c r="D6" s="28">
        <f>'Exh. 2 Burton IS'!D16</f>
        <v>345.3586492419696</v>
      </c>
      <c r="E6" s="28">
        <f>'Exh. 2 Burton IS'!E16</f>
        <v>571.28235268423293</v>
      </c>
      <c r="F6" s="28">
        <f>'Exh. 2 Burton IS'!F16</f>
        <v>686.84022911371005</v>
      </c>
      <c r="G6" s="28">
        <f>'Exh. 2 Burton IS'!G16</f>
        <v>749.8537323029999</v>
      </c>
      <c r="H6" s="28">
        <f>'Exh. 2 Burton IS'!H16</f>
        <v>813.48930219298518</v>
      </c>
      <c r="I6" s="28">
        <f>'Exh. 2 Burton IS'!I16</f>
        <v>895.49611032456323</v>
      </c>
      <c r="J6" s="28"/>
    </row>
    <row r="7" spans="1:10" s="12" customFormat="1" ht="14" x14ac:dyDescent="0.2">
      <c r="A7" s="12" t="s">
        <v>263</v>
      </c>
      <c r="B7" s="28">
        <f>-'Exh. 1 Burton BS'!B49</f>
        <v>98.855640000000008</v>
      </c>
      <c r="C7" s="28">
        <f>-'Exh. 1 Burton BS'!C49</f>
        <v>102.88590839999999</v>
      </c>
      <c r="D7" s="28">
        <f>-'Exh. 1 Burton BS'!D49</f>
        <v>122.74288872119999</v>
      </c>
      <c r="E7" s="28">
        <f>-'Exh. 1 Burton BS'!E49</f>
        <v>152.20118201428798</v>
      </c>
      <c r="F7" s="28">
        <f>-'Exh. 1 Burton BS'!F49</f>
        <v>176.55337113657404</v>
      </c>
      <c r="G7" s="28">
        <f>-'Exh. 1 Burton BS'!G49</f>
        <v>208.0119718118182</v>
      </c>
      <c r="H7" s="28">
        <f>-'Exh. 1 Burton BS'!H49</f>
        <v>238.86708096390456</v>
      </c>
      <c r="I7" s="28">
        <f>-'Exh. 1 Burton BS'!I49</f>
        <v>253.19910582173884</v>
      </c>
      <c r="J7" s="28"/>
    </row>
    <row r="8" spans="1:10" s="12" customFormat="1" ht="14" x14ac:dyDescent="0.2">
      <c r="A8" s="12" t="s">
        <v>394</v>
      </c>
      <c r="B8" s="28">
        <f>--320</f>
        <v>320</v>
      </c>
      <c r="C8" s="28">
        <f>'Exh. 1 Burton BS'!C6-'Exh. 1 Burton BS'!B6</f>
        <v>341.495541</v>
      </c>
      <c r="D8" s="28">
        <f>'Exh. 1 Burton BS'!D6-'Exh. 1 Burton BS'!C6</f>
        <v>421.34117805900019</v>
      </c>
      <c r="E8" s="28">
        <f>'Exh. 1 Burton BS'!E6-'Exh. 1 Burton BS'!D6</f>
        <v>509.56896226679964</v>
      </c>
      <c r="F8" s="28">
        <f>'Exh. 1 Burton BS'!F6-'Exh. 1 Burton BS'!E6</f>
        <v>451.99138901212791</v>
      </c>
      <c r="G8" s="28">
        <f>'Exh. 1 Burton BS'!G6-'Exh. 1 Burton BS'!F6</f>
        <v>262.15500562703483</v>
      </c>
      <c r="H8" s="28">
        <f>'Exh. 1 Burton BS'!H6-'Exh. 1 Burton BS'!G6</f>
        <v>212.34555455789769</v>
      </c>
      <c r="I8" s="28">
        <f>'Exh. 1 Burton BS'!I6-'Exh. 1 Burton BS'!H6</f>
        <v>225.08628783137192</v>
      </c>
      <c r="J8" s="28"/>
    </row>
    <row r="9" spans="1:10" s="12" customFormat="1" ht="14" x14ac:dyDescent="0.2">
      <c r="A9" s="12" t="s">
        <v>395</v>
      </c>
      <c r="B9" s="28">
        <v>289.8</v>
      </c>
      <c r="C9" s="28">
        <f>'Exh. 1 Burton BS'!C7-'Exh. 1 Burton BS'!B7</f>
        <v>423.74850300000003</v>
      </c>
      <c r="D9" s="28">
        <f>'Exh. 1 Burton BS'!D7-'Exh. 1 Burton BS'!C7</f>
        <v>339.57026404199996</v>
      </c>
      <c r="E9" s="28">
        <f>'Exh. 1 Burton BS'!E7-'Exh. 1 Burton BS'!D7</f>
        <v>561.64170293639972</v>
      </c>
      <c r="F9" s="28">
        <f>'Exh. 1 Burton BS'!F7-'Exh. 1 Burton BS'!E7</f>
        <v>479.66433119654403</v>
      </c>
      <c r="G9" s="28">
        <f>'Exh. 1 Burton BS'!G7-'Exh. 1 Burton BS'!F7</f>
        <v>278.20531209399587</v>
      </c>
      <c r="H9" s="28">
        <f>'Exh. 1 Burton BS'!H7-'Exh. 1 Burton BS'!G7</f>
        <v>225.34630279613657</v>
      </c>
      <c r="I9" s="28">
        <f>'Exh. 1 Burton BS'!I7-'Exh. 1 Burton BS'!H7</f>
        <v>238.8670809639043</v>
      </c>
      <c r="J9" s="28"/>
    </row>
    <row r="10" spans="1:10" s="12" customFormat="1" ht="14" x14ac:dyDescent="0.2">
      <c r="A10" s="12" t="s">
        <v>396</v>
      </c>
      <c r="B10" s="28">
        <v>55.6</v>
      </c>
      <c r="C10" s="28">
        <f>'Exh. 1 Burton BS'!C8-'Exh. 1 Burton BS'!B8</f>
        <v>58.299479999999988</v>
      </c>
      <c r="D10" s="28">
        <f>'Exh. 1 Burton BS'!D8-'Exh. 1 Burton BS'!C8</f>
        <v>60.172667640000043</v>
      </c>
      <c r="E10" s="28">
        <f>'Exh. 1 Burton BS'!E8-'Exh. 1 Burton BS'!D8</f>
        <v>89.267555433599966</v>
      </c>
      <c r="F10" s="28">
        <f>'Exh. 1 Burton BS'!F8-'Exh. 1 Burton BS'!E8</f>
        <v>73.794512491776004</v>
      </c>
      <c r="G10" s="28">
        <f>'Exh. 1 Burton BS'!G8-'Exh. 1 Burton BS'!F8</f>
        <v>42.800817245230064</v>
      </c>
      <c r="H10" s="28">
        <f>'Exh. 1 Burton BS'!H8-'Exh. 1 Burton BS'!G8</f>
        <v>34.668661968636457</v>
      </c>
      <c r="I10" s="28">
        <f>'Exh. 1 Burton BS'!I8-'Exh. 1 Burton BS'!H8</f>
        <v>36.748781686754569</v>
      </c>
      <c r="J10" s="28"/>
    </row>
    <row r="11" spans="1:10" s="12" customFormat="1" ht="14" x14ac:dyDescent="0.2">
      <c r="A11" s="12" t="s">
        <v>397</v>
      </c>
      <c r="B11" s="28">
        <v>120.3</v>
      </c>
      <c r="C11" s="28">
        <f>'Exh. 1 Burton BS'!C14-'Exh. 1 Burton BS'!B14</f>
        <v>162.22464000000002</v>
      </c>
      <c r="D11" s="28">
        <f>'Exh. 1 Burton BS'!D14-'Exh. 1 Burton BS'!C14</f>
        <v>217.71281768400013</v>
      </c>
      <c r="E11" s="28">
        <f>'Exh. 1 Burton BS'!E14-'Exh. 1 Burton BS'!D14</f>
        <v>230.6078515367999</v>
      </c>
      <c r="F11" s="28">
        <f>'Exh. 1 Burton BS'!F14-'Exh. 1 Burton BS'!E14</f>
        <v>221.38353747532778</v>
      </c>
      <c r="G11" s="28">
        <f>'Exh. 1 Burton BS'!G14-'Exh. 1 Burton BS'!F14</f>
        <v>128.40245173569042</v>
      </c>
      <c r="H11" s="28">
        <f>'Exh. 1 Burton BS'!H14-'Exh. 1 Burton BS'!G14</f>
        <v>104.00598590590903</v>
      </c>
      <c r="I11" s="28">
        <f>'Exh. 1 Burton BS'!I14-'Exh. 1 Burton BS'!H14</f>
        <v>110.24634506026382</v>
      </c>
      <c r="J11" s="28"/>
    </row>
    <row r="12" spans="1:10" s="12" customFormat="1" ht="14" x14ac:dyDescent="0.2">
      <c r="A12" s="12" t="s">
        <v>398</v>
      </c>
      <c r="B12" s="28">
        <v>30.2</v>
      </c>
      <c r="C12" s="28">
        <f>'Exh. 1 Burton BS'!C15-'Exh. 1 Burton BS'!B15</f>
        <v>72.81098099999997</v>
      </c>
      <c r="D12" s="28">
        <f>'Exh. 1 Burton BS'!D15-'Exh. 1 Burton BS'!C15</f>
        <v>76.174544151000021</v>
      </c>
      <c r="E12" s="28">
        <f>'Exh. 1 Burton BS'!E15-'Exh. 1 Burton BS'!D15</f>
        <v>147.66341461307991</v>
      </c>
      <c r="F12" s="28">
        <f>'Exh. 1 Burton BS'!F15-'Exh. 1 Burton BS'!E15</f>
        <v>114.38149436225274</v>
      </c>
      <c r="G12" s="28">
        <f>'Exh. 1 Burton BS'!G15-'Exh. 1 Burton BS'!F15</f>
        <v>66.341266730106781</v>
      </c>
      <c r="H12" s="28">
        <f>'Exh. 1 Burton BS'!H15-'Exh. 1 Burton BS'!G15</f>
        <v>53.736426051386388</v>
      </c>
      <c r="I12" s="28">
        <f>'Exh. 1 Burton BS'!I15-'Exh. 1 Burton BS'!H15</f>
        <v>56.960611614469599</v>
      </c>
      <c r="J12" s="28"/>
    </row>
    <row r="13" spans="1:10" s="12" customFormat="1" ht="14" x14ac:dyDescent="0.2">
      <c r="A13" s="9" t="s">
        <v>399</v>
      </c>
      <c r="B13" s="31">
        <f>'Exh. 1 Burton BS'!B74-'Exh. 1 Burton BS'!B71</f>
        <v>-163.85216399999996</v>
      </c>
      <c r="C13" s="31">
        <f>'Exh. 1 Burton BS'!C17-'Exh. 1 Burton BS'!B17</f>
        <v>8.7661765100001503</v>
      </c>
      <c r="D13" s="31">
        <f>'Exh. 1 Burton BS'!D17-'Exh. 1 Burton BS'!C17</f>
        <v>45.578337081829602</v>
      </c>
      <c r="E13" s="31">
        <f>'Exh. 1 Burton BS'!E17-'Exh. 1 Burton BS'!D17</f>
        <v>121.65122493044942</v>
      </c>
      <c r="F13" s="31">
        <f>'Exh. 1 Burton BS'!F17-'Exh. 1 Burton BS'!E17</f>
        <v>62.223471923564603</v>
      </c>
      <c r="G13" s="31">
        <f>'Exh. 1 Burton BS'!G17-'Exh. 1 Burton BS'!F17</f>
        <v>33.930347871156073</v>
      </c>
      <c r="H13" s="31">
        <f>'Exh. 1 Burton BS'!H17-'Exh. 1 Burton BS'!G17</f>
        <v>34.265306863838305</v>
      </c>
      <c r="I13" s="31">
        <f>'Exh. 1 Burton BS'!I17-'Exh. 1 Burton BS'!H17</f>
        <v>44.157512070849748</v>
      </c>
      <c r="J13" s="28"/>
    </row>
    <row r="14" spans="1:10" s="12" customFormat="1" ht="14" x14ac:dyDescent="0.2">
      <c r="A14" s="12" t="s">
        <v>400</v>
      </c>
      <c r="B14" s="28">
        <f>SUM(B6:B7)-SUM(B8:B10)+SUM(B11:B13)</f>
        <v>-335.46339999999992</v>
      </c>
      <c r="C14" s="28">
        <f>SUM(C6:C7)-SUM(C8:C10)+SUM(C11:C13)</f>
        <v>-216.1426519999996</v>
      </c>
      <c r="D14" s="28">
        <f>SUM(D6:D7)-SUM(D8:D10)+SUM(D11:D13)</f>
        <v>-13.516872861000934</v>
      </c>
      <c r="E14" s="28">
        <f t="shared" ref="E14:G14" si="1">SUM(E6:E7)-SUM(E8:E10)+SUM(E11:E13)</f>
        <v>62.927805142050829</v>
      </c>
      <c r="F14" s="28">
        <f>SUM(F6:F7)-SUM(F8:F10)+SUM(F11:F13)</f>
        <v>255.93187131098125</v>
      </c>
      <c r="G14" s="28">
        <f t="shared" si="1"/>
        <v>603.37863548551059</v>
      </c>
      <c r="H14" s="28">
        <f t="shared" ref="H14:I14" si="2">SUM(H6:H7)-SUM(H8:H10)+SUM(H11:H13)</f>
        <v>772.00358265535272</v>
      </c>
      <c r="I14" s="28">
        <f t="shared" si="2"/>
        <v>859.35753440985445</v>
      </c>
      <c r="J14" s="28"/>
    </row>
    <row r="15" spans="1:10" s="12" customFormat="1" ht="14" x14ac:dyDescent="0.2">
      <c r="B15" s="28"/>
      <c r="C15" s="28"/>
      <c r="D15" s="28"/>
      <c r="E15" s="28"/>
      <c r="F15" s="28"/>
      <c r="G15" s="28"/>
      <c r="H15" s="28"/>
      <c r="I15" s="28"/>
    </row>
    <row r="16" spans="1:10" s="12" customFormat="1" ht="14" x14ac:dyDescent="0.2">
      <c r="A16" s="24" t="s">
        <v>304</v>
      </c>
      <c r="B16" s="28"/>
      <c r="C16" s="28"/>
      <c r="D16" s="28"/>
      <c r="E16" s="28"/>
      <c r="F16" s="28"/>
      <c r="G16" s="28"/>
      <c r="H16" s="28"/>
      <c r="I16" s="28"/>
    </row>
    <row r="17" spans="1:10" s="12" customFormat="1" ht="14" x14ac:dyDescent="0.2">
      <c r="A17" s="9" t="s">
        <v>305</v>
      </c>
      <c r="B17" s="31">
        <f>-'Exh. 1 Burton BS'!B50</f>
        <v>-354.86640000000006</v>
      </c>
      <c r="C17" s="31">
        <f>-'Exh. 1 Burton BS'!C50</f>
        <v>-522.22392900000011</v>
      </c>
      <c r="D17" s="31">
        <f>-'Exh. 1 Burton BS'!D50</f>
        <v>-483.532591932</v>
      </c>
      <c r="E17" s="31">
        <f>-'Exh. 1 Burton BS'!E50</f>
        <v>-345.91177730520002</v>
      </c>
      <c r="F17" s="31">
        <f>-'Exh. 1 Burton BS'!F50</f>
        <v>-267.50510778268801</v>
      </c>
      <c r="G17" s="31">
        <f>-'Exh. 1 Burton BS'!G50</f>
        <v>-144.45275820265152</v>
      </c>
      <c r="H17" s="31">
        <f>-'Exh. 1 Burton BS'!H50</f>
        <v>-153.11992369481064</v>
      </c>
      <c r="I17" s="31">
        <f>-'Exh. 1 Burton BS'!I50</f>
        <v>-162.30711911649928</v>
      </c>
    </row>
    <row r="18" spans="1:10" s="12" customFormat="1" ht="14" x14ac:dyDescent="0.2">
      <c r="A18" s="12" t="s">
        <v>306</v>
      </c>
      <c r="B18" s="28">
        <f t="shared" ref="B18:G18" si="3">SUM(B17:B17)</f>
        <v>-354.86640000000006</v>
      </c>
      <c r="C18" s="28">
        <f t="shared" si="3"/>
        <v>-522.22392900000011</v>
      </c>
      <c r="D18" s="28">
        <f t="shared" si="3"/>
        <v>-483.532591932</v>
      </c>
      <c r="E18" s="28">
        <f t="shared" si="3"/>
        <v>-345.91177730520002</v>
      </c>
      <c r="F18" s="28">
        <f t="shared" si="3"/>
        <v>-267.50510778268801</v>
      </c>
      <c r="G18" s="28">
        <f t="shared" si="3"/>
        <v>-144.45275820265152</v>
      </c>
      <c r="H18" s="28">
        <f t="shared" ref="H18:I18" si="4">SUM(H17:H17)</f>
        <v>-153.11992369481064</v>
      </c>
      <c r="I18" s="28">
        <f t="shared" si="4"/>
        <v>-162.30711911649928</v>
      </c>
    </row>
    <row r="19" spans="1:10" s="12" customFormat="1" ht="14" x14ac:dyDescent="0.2">
      <c r="B19" s="28"/>
      <c r="C19" s="28"/>
      <c r="D19" s="28"/>
      <c r="E19" s="28"/>
      <c r="F19" s="28"/>
      <c r="G19" s="28"/>
      <c r="H19" s="28"/>
      <c r="I19" s="28"/>
    </row>
    <row r="20" spans="1:10" s="12" customFormat="1" ht="14" x14ac:dyDescent="0.2">
      <c r="A20" s="24" t="s">
        <v>401</v>
      </c>
      <c r="B20" s="28"/>
      <c r="C20" s="28"/>
      <c r="D20" s="28"/>
      <c r="E20" s="28"/>
      <c r="F20" s="28"/>
      <c r="G20" s="28"/>
      <c r="H20" s="28"/>
      <c r="I20" s="28"/>
    </row>
    <row r="21" spans="1:10" s="12" customFormat="1" ht="14" x14ac:dyDescent="0.2">
      <c r="A21" s="12" t="s">
        <v>402</v>
      </c>
      <c r="B21" s="28">
        <v>800</v>
      </c>
      <c r="C21" s="28">
        <v>860</v>
      </c>
      <c r="D21" s="28">
        <v>700</v>
      </c>
      <c r="E21" s="28">
        <v>500</v>
      </c>
      <c r="F21" s="28">
        <v>150</v>
      </c>
      <c r="G21" s="28">
        <v>-300</v>
      </c>
      <c r="H21" s="28">
        <v>-400</v>
      </c>
      <c r="I21" s="28">
        <v>-500</v>
      </c>
    </row>
    <row r="22" spans="1:10" s="12" customFormat="1" ht="14" x14ac:dyDescent="0.2">
      <c r="A22" s="12" t="s">
        <v>403</v>
      </c>
      <c r="B22" s="28">
        <f>SUM('Exh. 1 Burton BS'!B59:B60)</f>
        <v>-150</v>
      </c>
      <c r="C22" s="28">
        <f>SUM('Exh. 1 Burton BS'!C59:C60)</f>
        <v>-150</v>
      </c>
      <c r="D22" s="28">
        <f>SUM('Exh. 1 Burton BS'!D59:D60)</f>
        <v>-150</v>
      </c>
      <c r="E22" s="28">
        <f>SUM('Exh. 1 Burton BS'!E59:E60)</f>
        <v>-150</v>
      </c>
      <c r="F22" s="28">
        <f>SUM('Exh. 1 Burton BS'!F59:F60)</f>
        <v>-150</v>
      </c>
      <c r="G22" s="28">
        <f>SUM('Exh. 1 Burton BS'!G59:G60)</f>
        <v>-150</v>
      </c>
      <c r="H22" s="28">
        <f>SUM('Exh. 1 Burton BS'!H59:H60)</f>
        <v>-150</v>
      </c>
      <c r="I22" s="28">
        <f>SUM('Exh. 1 Burton BS'!I59:I60)</f>
        <v>-150</v>
      </c>
      <c r="J22" s="28"/>
    </row>
    <row r="23" spans="1:10" s="12" customFormat="1" ht="14" x14ac:dyDescent="0.2">
      <c r="A23" s="12" t="s">
        <v>404</v>
      </c>
      <c r="B23" s="28">
        <v>0</v>
      </c>
      <c r="C23" s="28">
        <v>0</v>
      </c>
      <c r="D23" s="28">
        <v>0</v>
      </c>
      <c r="E23" s="28">
        <v>0</v>
      </c>
      <c r="F23" s="28">
        <v>0</v>
      </c>
      <c r="G23" s="28">
        <v>0</v>
      </c>
      <c r="H23" s="28">
        <v>0</v>
      </c>
      <c r="I23" s="28">
        <v>0</v>
      </c>
      <c r="J23" s="28"/>
    </row>
    <row r="24" spans="1:10" s="12" customFormat="1" ht="14" x14ac:dyDescent="0.2">
      <c r="A24" s="9" t="s">
        <v>405</v>
      </c>
      <c r="B24" s="31">
        <f>'Exh. 2 Burton IS'!B20</f>
        <v>0</v>
      </c>
      <c r="C24" s="31">
        <f>'Exh. 2 Burton IS'!C20</f>
        <v>0</v>
      </c>
      <c r="D24" s="31">
        <f>'Exh. 2 Burton IS'!D20</f>
        <v>0</v>
      </c>
      <c r="E24" s="31">
        <f>'Exh. 2 Burton IS'!E20</f>
        <v>0</v>
      </c>
      <c r="F24" s="31">
        <f>'Exh. 2 Burton IS'!F20</f>
        <v>0</v>
      </c>
      <c r="G24" s="31">
        <f>'Exh. 2 Burton IS'!G20</f>
        <v>0</v>
      </c>
      <c r="H24" s="31">
        <f>'Exh. 2 Burton IS'!H20</f>
        <v>0</v>
      </c>
      <c r="I24" s="31">
        <f>'Exh. 2 Burton IS'!I20</f>
        <v>0</v>
      </c>
      <c r="J24" s="28"/>
    </row>
    <row r="25" spans="1:10" s="12" customFormat="1" ht="14" x14ac:dyDescent="0.2">
      <c r="A25" s="36" t="s">
        <v>406</v>
      </c>
      <c r="B25" s="28">
        <f>SUM(B21:B24)</f>
        <v>650</v>
      </c>
      <c r="C25" s="28">
        <f t="shared" ref="C25:G25" si="5">SUM(C21:C24)</f>
        <v>710</v>
      </c>
      <c r="D25" s="28">
        <f t="shared" si="5"/>
        <v>550</v>
      </c>
      <c r="E25" s="28">
        <f t="shared" si="5"/>
        <v>350</v>
      </c>
      <c r="F25" s="28">
        <f t="shared" si="5"/>
        <v>0</v>
      </c>
      <c r="G25" s="28">
        <f t="shared" si="5"/>
        <v>-450</v>
      </c>
      <c r="H25" s="28">
        <f t="shared" ref="H25:I25" si="6">SUM(H21:H24)</f>
        <v>-550</v>
      </c>
      <c r="I25" s="28">
        <f t="shared" si="6"/>
        <v>-650</v>
      </c>
      <c r="J25" s="28"/>
    </row>
    <row r="26" spans="1:10" s="12" customFormat="1" ht="14" x14ac:dyDescent="0.2">
      <c r="A26" s="36"/>
      <c r="B26" s="28"/>
      <c r="C26" s="28"/>
      <c r="D26" s="28"/>
      <c r="E26" s="28"/>
      <c r="F26" s="28"/>
      <c r="G26" s="28"/>
      <c r="H26" s="28"/>
      <c r="I26" s="28"/>
    </row>
    <row r="27" spans="1:10" s="12" customFormat="1" ht="14" x14ac:dyDescent="0.2">
      <c r="A27" s="41" t="s">
        <v>407</v>
      </c>
      <c r="B27" s="31">
        <f t="shared" ref="B27:I27" si="7">B14+B18+B25</f>
        <v>-40.329799999999977</v>
      </c>
      <c r="C27" s="31">
        <f t="shared" si="7"/>
        <v>-28.366580999999769</v>
      </c>
      <c r="D27" s="31">
        <f t="shared" si="7"/>
        <v>52.950535206999064</v>
      </c>
      <c r="E27" s="31">
        <f t="shared" si="7"/>
        <v>67.01602783685081</v>
      </c>
      <c r="F27" s="31">
        <f t="shared" si="7"/>
        <v>-11.573236471706764</v>
      </c>
      <c r="G27" s="31">
        <f t="shared" si="7"/>
        <v>8.9258772828590622</v>
      </c>
      <c r="H27" s="31">
        <f t="shared" si="7"/>
        <v>68.883658960542107</v>
      </c>
      <c r="I27" s="31">
        <f t="shared" si="7"/>
        <v>47.050415293355172</v>
      </c>
    </row>
    <row r="28" spans="1:10" s="12" customFormat="1" ht="14" x14ac:dyDescent="0.2">
      <c r="A28" s="36"/>
      <c r="B28" s="28"/>
      <c r="C28" s="28"/>
      <c r="D28" s="28"/>
      <c r="E28" s="28"/>
      <c r="F28" s="28"/>
      <c r="G28" s="28"/>
      <c r="H28" s="28"/>
      <c r="I28" s="28"/>
    </row>
    <row r="29" spans="1:10" s="12" customFormat="1" ht="14" x14ac:dyDescent="0.2">
      <c r="A29" s="32" t="s">
        <v>408</v>
      </c>
      <c r="B29" s="31">
        <v>320</v>
      </c>
      <c r="C29" s="31">
        <f>B31</f>
        <v>279.67020000000002</v>
      </c>
      <c r="D29" s="31">
        <f>C31</f>
        <v>251.30361900000025</v>
      </c>
      <c r="E29" s="31">
        <f>D31</f>
        <v>304.25415420699932</v>
      </c>
      <c r="F29" s="31">
        <f t="shared" ref="F29:I29" si="8">E31</f>
        <v>371.27018204385013</v>
      </c>
      <c r="G29" s="31">
        <f t="shared" si="8"/>
        <v>359.69694557214336</v>
      </c>
      <c r="H29" s="31">
        <f t="shared" si="8"/>
        <v>368.62282285500243</v>
      </c>
      <c r="I29" s="31">
        <f t="shared" si="8"/>
        <v>437.50648181554453</v>
      </c>
    </row>
    <row r="30" spans="1:10" s="12" customFormat="1" ht="14" x14ac:dyDescent="0.2">
      <c r="A30" s="36" t="s">
        <v>409</v>
      </c>
      <c r="B30" s="28">
        <f>B27</f>
        <v>-40.329799999999977</v>
      </c>
      <c r="C30" s="28">
        <f t="shared" ref="C30:D30" si="9">C27</f>
        <v>-28.366580999999769</v>
      </c>
      <c r="D30" s="28">
        <f t="shared" si="9"/>
        <v>52.950535206999064</v>
      </c>
      <c r="E30" s="28">
        <f>E27</f>
        <v>67.01602783685081</v>
      </c>
      <c r="F30" s="28">
        <f t="shared" ref="F30:H30" si="10">F27</f>
        <v>-11.573236471706764</v>
      </c>
      <c r="G30" s="28">
        <f t="shared" si="10"/>
        <v>8.9258772828590622</v>
      </c>
      <c r="H30" s="28">
        <f t="shared" si="10"/>
        <v>68.883658960542107</v>
      </c>
      <c r="I30" s="28">
        <f t="shared" ref="I30" si="11">I27</f>
        <v>47.050415293355172</v>
      </c>
    </row>
    <row r="31" spans="1:10" s="12" customFormat="1" ht="14" x14ac:dyDescent="0.2">
      <c r="A31" s="41" t="s">
        <v>410</v>
      </c>
      <c r="B31" s="44">
        <f>SUM(B29:B30)</f>
        <v>279.67020000000002</v>
      </c>
      <c r="C31" s="45">
        <f>SUM(C29:C30)</f>
        <v>251.30361900000025</v>
      </c>
      <c r="D31" s="45">
        <f t="shared" ref="D31" si="12">SUM(D29:D30)</f>
        <v>304.25415420699932</v>
      </c>
      <c r="E31" s="45">
        <f>SUM(E29:E30)</f>
        <v>371.27018204385013</v>
      </c>
      <c r="F31" s="45">
        <f t="shared" ref="F31:H31" si="13">SUM(F29:F30)</f>
        <v>359.69694557214336</v>
      </c>
      <c r="G31" s="45">
        <f t="shared" si="13"/>
        <v>368.62282285500243</v>
      </c>
      <c r="H31" s="45">
        <f t="shared" si="13"/>
        <v>437.50648181554453</v>
      </c>
      <c r="I31" s="45">
        <f t="shared" ref="I31" si="14">SUM(I29:I30)</f>
        <v>484.5568971088997</v>
      </c>
    </row>
    <row r="32" spans="1:10" x14ac:dyDescent="0.15">
      <c r="B32" s="2"/>
      <c r="C32" s="2"/>
      <c r="D32" s="2"/>
      <c r="E32" s="2"/>
      <c r="F32" s="2"/>
      <c r="G32" s="2"/>
      <c r="H32" s="2"/>
      <c r="I32"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U27"/>
  <sheetViews>
    <sheetView zoomScale="125" zoomScaleNormal="145" workbookViewId="0">
      <selection activeCell="D21" sqref="D21"/>
    </sheetView>
  </sheetViews>
  <sheetFormatPr baseColWidth="10" defaultColWidth="8.83203125" defaultRowHeight="16" x14ac:dyDescent="0.2"/>
  <cols>
    <col min="1" max="1" width="21.5" customWidth="1"/>
    <col min="2" max="4" width="6.33203125" customWidth="1"/>
    <col min="5" max="5" width="3.83203125" customWidth="1"/>
    <col min="6" max="8" width="6.33203125" customWidth="1"/>
    <col min="9" max="9" width="3.6640625" customWidth="1"/>
    <col min="10" max="12" width="6.33203125" customWidth="1"/>
    <col min="13" max="13" width="2.33203125" customWidth="1"/>
    <col min="14" max="16" width="6.33203125" customWidth="1"/>
    <col min="17" max="17" width="3.33203125" customWidth="1"/>
    <col min="18" max="18" width="12.33203125" bestFit="1" customWidth="1"/>
  </cols>
  <sheetData>
    <row r="1" spans="1:21" s="233" customFormat="1" ht="16" customHeight="1" x14ac:dyDescent="0.2">
      <c r="A1" s="233" t="s">
        <v>411</v>
      </c>
    </row>
    <row r="2" spans="1:21" s="233" customFormat="1" ht="16" customHeight="1" x14ac:dyDescent="0.2">
      <c r="A2" s="233" t="s">
        <v>412</v>
      </c>
    </row>
    <row r="3" spans="1:21" x14ac:dyDescent="0.2">
      <c r="A3" s="52"/>
      <c r="B3" s="12"/>
      <c r="C3" s="12"/>
      <c r="D3" s="12"/>
      <c r="E3" s="12"/>
      <c r="F3" s="12"/>
      <c r="G3" s="46"/>
      <c r="H3" s="12"/>
      <c r="I3" s="12"/>
      <c r="J3" s="12"/>
      <c r="K3" s="12"/>
      <c r="L3" s="12"/>
      <c r="M3" s="12"/>
      <c r="N3" s="12"/>
      <c r="O3" s="12"/>
      <c r="P3" s="12"/>
    </row>
    <row r="4" spans="1:21" x14ac:dyDescent="0.2">
      <c r="A4" s="24"/>
      <c r="B4" s="234" t="s">
        <v>413</v>
      </c>
      <c r="C4" s="234"/>
      <c r="D4" s="234"/>
      <c r="E4" s="33"/>
      <c r="F4" s="234" t="s">
        <v>414</v>
      </c>
      <c r="G4" s="234"/>
      <c r="H4" s="234"/>
      <c r="I4" s="12"/>
      <c r="J4" s="234" t="s">
        <v>415</v>
      </c>
      <c r="K4" s="234"/>
      <c r="L4" s="234"/>
      <c r="M4" s="12"/>
      <c r="N4" s="234" t="s">
        <v>416</v>
      </c>
      <c r="O4" s="234"/>
      <c r="P4" s="234"/>
    </row>
    <row r="5" spans="1:21" x14ac:dyDescent="0.2">
      <c r="A5" s="12"/>
      <c r="B5" s="24">
        <v>2014</v>
      </c>
      <c r="C5" s="24">
        <v>2015</v>
      </c>
      <c r="D5" s="24">
        <f>C5+1</f>
        <v>2016</v>
      </c>
      <c r="E5" s="24"/>
      <c r="F5" s="24">
        <v>2014</v>
      </c>
      <c r="G5" s="24">
        <v>2015</v>
      </c>
      <c r="H5" s="24">
        <f>G5+1</f>
        <v>2016</v>
      </c>
      <c r="I5" s="12"/>
      <c r="J5" s="24">
        <v>2014</v>
      </c>
      <c r="K5" s="24">
        <v>2015</v>
      </c>
      <c r="L5" s="24">
        <f>K5+1</f>
        <v>2016</v>
      </c>
      <c r="M5" s="12"/>
      <c r="N5" s="24">
        <v>2014</v>
      </c>
      <c r="O5" s="24">
        <v>2015</v>
      </c>
      <c r="P5" s="24">
        <f>O5+1</f>
        <v>2016</v>
      </c>
    </row>
    <row r="6" spans="1:21" x14ac:dyDescent="0.2">
      <c r="A6" s="12"/>
      <c r="B6" s="24"/>
      <c r="C6" s="24"/>
      <c r="D6" s="24"/>
      <c r="E6" s="24"/>
      <c r="F6" s="24"/>
      <c r="G6" s="24"/>
      <c r="H6" s="24"/>
      <c r="I6" s="12"/>
      <c r="J6" s="24"/>
      <c r="K6" s="24"/>
      <c r="L6" s="24"/>
      <c r="M6" s="12"/>
      <c r="N6" s="24"/>
      <c r="O6" s="24"/>
      <c r="P6" s="24"/>
    </row>
    <row r="7" spans="1:21" x14ac:dyDescent="0.2">
      <c r="A7" s="12" t="s">
        <v>257</v>
      </c>
      <c r="B7" s="65">
        <v>12233</v>
      </c>
      <c r="C7" s="65">
        <v>12238</v>
      </c>
      <c r="D7" s="65">
        <v>13113</v>
      </c>
      <c r="E7" s="65"/>
      <c r="F7" s="65">
        <v>3974.2950000000001</v>
      </c>
      <c r="G7" s="65">
        <v>3840.087</v>
      </c>
      <c r="H7" s="65">
        <v>4300.17</v>
      </c>
      <c r="I7" s="12"/>
      <c r="J7" s="47">
        <v>5.20723</v>
      </c>
      <c r="K7" s="47">
        <v>9.6008169999999993</v>
      </c>
      <c r="L7" s="47">
        <v>17.751995999999998</v>
      </c>
      <c r="M7" s="12"/>
      <c r="N7" s="47">
        <v>41.13</v>
      </c>
      <c r="O7" s="47">
        <v>66.239999999999995</v>
      </c>
      <c r="P7" s="47">
        <v>53.332999999999998</v>
      </c>
      <c r="R7" s="70"/>
      <c r="S7" s="70"/>
      <c r="T7" s="70"/>
      <c r="U7" s="70"/>
    </row>
    <row r="8" spans="1:21" x14ac:dyDescent="0.2">
      <c r="A8" s="12" t="s">
        <v>417</v>
      </c>
      <c r="B8" s="65">
        <v>1992</v>
      </c>
      <c r="C8" s="65">
        <v>1936</v>
      </c>
      <c r="D8" s="65">
        <v>2201</v>
      </c>
      <c r="E8" s="65"/>
      <c r="F8" s="65">
        <v>944.31600000000003</v>
      </c>
      <c r="G8" s="65">
        <v>841.39700000000005</v>
      </c>
      <c r="H8" s="65">
        <v>931.89400000000001</v>
      </c>
      <c r="I8" s="12"/>
      <c r="J8" s="47">
        <v>-5.1319999999999997</v>
      </c>
      <c r="K8" s="47">
        <v>-8.4920000000000009</v>
      </c>
      <c r="L8" s="47">
        <v>-6.38</v>
      </c>
      <c r="M8" s="12"/>
      <c r="N8" s="47">
        <v>-2.2000000000000002</v>
      </c>
      <c r="O8" s="47">
        <v>6.1529999999999996</v>
      </c>
      <c r="P8" s="47">
        <v>1.0149999999999999</v>
      </c>
    </row>
    <row r="9" spans="1:21" x14ac:dyDescent="0.2">
      <c r="A9" s="12" t="s">
        <v>272</v>
      </c>
      <c r="B9" s="65">
        <v>2420</v>
      </c>
      <c r="C9" s="65">
        <v>2009</v>
      </c>
      <c r="D9" s="65">
        <v>1683</v>
      </c>
      <c r="E9" s="65"/>
      <c r="F9" s="65">
        <v>590.85900000000004</v>
      </c>
      <c r="G9" s="65">
        <v>512.15800000000002</v>
      </c>
      <c r="H9" s="65">
        <v>681.47</v>
      </c>
      <c r="I9" s="12"/>
      <c r="J9" s="47">
        <v>-2.8839999999999999</v>
      </c>
      <c r="K9" s="47">
        <v>-9.282</v>
      </c>
      <c r="L9" s="47">
        <v>-6.5369999999999999</v>
      </c>
      <c r="M9" s="12"/>
      <c r="N9" s="47">
        <v>-2.1</v>
      </c>
      <c r="O9" s="47">
        <v>11.561999999999999</v>
      </c>
      <c r="P9" s="47">
        <v>2</v>
      </c>
    </row>
    <row r="10" spans="1:21" x14ac:dyDescent="0.2">
      <c r="A10" s="12" t="s">
        <v>203</v>
      </c>
      <c r="B10" s="65">
        <v>20589</v>
      </c>
      <c r="C10" s="65">
        <v>17608</v>
      </c>
      <c r="D10" s="65">
        <v>19403</v>
      </c>
      <c r="E10" s="65"/>
      <c r="F10" s="65">
        <v>6660.45</v>
      </c>
      <c r="G10" s="65">
        <v>7100.674</v>
      </c>
      <c r="H10" s="65">
        <v>7796.0640000000003</v>
      </c>
      <c r="I10" s="12"/>
      <c r="J10" s="47">
        <v>12.763253000000001</v>
      </c>
      <c r="K10" s="47">
        <v>16.861476</v>
      </c>
      <c r="L10" s="47">
        <v>27.609801000000001</v>
      </c>
      <c r="M10" s="12"/>
      <c r="N10" s="47">
        <v>44.738999999999997</v>
      </c>
      <c r="O10" s="47">
        <v>59.58</v>
      </c>
      <c r="P10" s="47">
        <v>59.500999999999998</v>
      </c>
    </row>
    <row r="11" spans="1:21" x14ac:dyDescent="0.2">
      <c r="A11" s="12" t="s">
        <v>418</v>
      </c>
      <c r="B11" s="65">
        <v>3884</v>
      </c>
      <c r="C11" s="65">
        <v>4070</v>
      </c>
      <c r="D11" s="65">
        <v>4344</v>
      </c>
      <c r="E11" s="65"/>
      <c r="F11" s="65">
        <v>1866.115</v>
      </c>
      <c r="G11" s="65">
        <v>2062.6439999999998</v>
      </c>
      <c r="H11" s="65">
        <v>1866.1659999999999</v>
      </c>
      <c r="I11" s="12"/>
      <c r="J11" s="47">
        <v>3.6937899999999999</v>
      </c>
      <c r="K11" s="47">
        <v>5.5774929999999996</v>
      </c>
      <c r="L11" s="47">
        <v>5.2983929999999999</v>
      </c>
      <c r="M11" s="12"/>
      <c r="N11" s="47">
        <v>0</v>
      </c>
      <c r="O11" s="47">
        <v>0</v>
      </c>
      <c r="P11" s="47">
        <v>0</v>
      </c>
    </row>
    <row r="12" spans="1:21" x14ac:dyDescent="0.2">
      <c r="A12" s="12" t="s">
        <v>344</v>
      </c>
      <c r="B12" s="65">
        <v>11004</v>
      </c>
      <c r="C12" s="65">
        <v>9123</v>
      </c>
      <c r="D12" s="65">
        <v>9652</v>
      </c>
      <c r="E12" s="65"/>
      <c r="F12" s="65">
        <v>3405.8240000000001</v>
      </c>
      <c r="G12" s="65">
        <v>3844.1610000000001</v>
      </c>
      <c r="H12" s="65">
        <v>3768.431</v>
      </c>
      <c r="I12" s="12"/>
      <c r="J12" s="47">
        <v>6.8698139999999999</v>
      </c>
      <c r="K12" s="47">
        <v>9.5490530000000007</v>
      </c>
      <c r="L12" s="47">
        <v>9.6444770000000002</v>
      </c>
      <c r="M12" s="12"/>
      <c r="N12" s="47">
        <v>8.6809999999999992</v>
      </c>
      <c r="O12" s="47">
        <v>10.682</v>
      </c>
      <c r="P12" s="47">
        <v>7.2190000000000003</v>
      </c>
    </row>
    <row r="13" spans="1:21" x14ac:dyDescent="0.2">
      <c r="A13" s="12" t="s">
        <v>295</v>
      </c>
      <c r="B13" s="65">
        <v>9585</v>
      </c>
      <c r="C13" s="65">
        <v>8485</v>
      </c>
      <c r="D13" s="65">
        <v>9751</v>
      </c>
      <c r="E13" s="65"/>
      <c r="F13" s="65">
        <v>3254.6260000000002</v>
      </c>
      <c r="G13" s="65">
        <v>3256.5129999999999</v>
      </c>
      <c r="H13" s="65">
        <v>4027.6329999999998</v>
      </c>
      <c r="I13" s="12"/>
      <c r="J13" s="47">
        <v>5.8934389999999999</v>
      </c>
      <c r="K13" s="47">
        <v>7.3124229999999999</v>
      </c>
      <c r="L13" s="47">
        <v>17.965323999999999</v>
      </c>
      <c r="M13" s="12"/>
      <c r="N13" s="47">
        <v>36.058</v>
      </c>
      <c r="O13" s="47">
        <v>48.898000000000003</v>
      </c>
      <c r="P13" s="47">
        <v>52.281999999999996</v>
      </c>
    </row>
    <row r="14" spans="1:21" x14ac:dyDescent="0.2">
      <c r="A14" s="12" t="s">
        <v>419</v>
      </c>
      <c r="B14" s="47">
        <f>B8/B7</f>
        <v>0.16283822447478133</v>
      </c>
      <c r="C14" s="47">
        <f>C8/C7</f>
        <v>0.15819578362477529</v>
      </c>
      <c r="D14" s="47">
        <f>D8/D7</f>
        <v>0.16784869976359337</v>
      </c>
      <c r="E14" s="48"/>
      <c r="F14" s="47">
        <f>F8/F7</f>
        <v>0.23760591501134165</v>
      </c>
      <c r="G14" s="47">
        <f>G8/G7</f>
        <v>0.21910883789872471</v>
      </c>
      <c r="H14" s="47">
        <f>H8/H7</f>
        <v>0.21671096724083</v>
      </c>
      <c r="I14" s="12"/>
      <c r="J14" s="47">
        <f>J8/J7</f>
        <v>-0.98555277950080944</v>
      </c>
      <c r="K14" s="47">
        <f>K8/K7</f>
        <v>-0.88450805801214638</v>
      </c>
      <c r="L14" s="47">
        <f>L8/L7</f>
        <v>-0.35939620536192102</v>
      </c>
      <c r="M14" s="12"/>
      <c r="N14" s="47">
        <f>N8/N7</f>
        <v>-5.348893751519572E-2</v>
      </c>
      <c r="O14" s="47">
        <f>O8/O7</f>
        <v>9.2889492753623196E-2</v>
      </c>
      <c r="P14" s="47">
        <f>P8/P7</f>
        <v>1.9031368946055911E-2</v>
      </c>
    </row>
    <row r="15" spans="1:21" x14ac:dyDescent="0.2">
      <c r="A15" s="12" t="s">
        <v>420</v>
      </c>
      <c r="B15" s="47">
        <f>B9/B7</f>
        <v>0.19782555382980463</v>
      </c>
      <c r="C15" s="47">
        <f>C9/C7</f>
        <v>0.16416081058996568</v>
      </c>
      <c r="D15" s="47">
        <f>D9/D7</f>
        <v>0.12834591626630062</v>
      </c>
      <c r="E15" s="48"/>
      <c r="F15" s="47">
        <f>F9/F7</f>
        <v>0.14867014149679378</v>
      </c>
      <c r="G15" s="47">
        <f>G9/G7</f>
        <v>0.13337145746958337</v>
      </c>
      <c r="H15" s="47">
        <f>H9/H7</f>
        <v>0.1584751300529979</v>
      </c>
      <c r="I15" s="12"/>
      <c r="J15" s="47">
        <f>J9/J7</f>
        <v>-0.55384532659398567</v>
      </c>
      <c r="K15" s="47">
        <f>K9/K7</f>
        <v>-0.96679272191106247</v>
      </c>
      <c r="L15" s="47">
        <f>L9/L7</f>
        <v>-0.36824028126189307</v>
      </c>
      <c r="M15" s="12"/>
      <c r="N15" s="47">
        <f>N9/N7</f>
        <v>-5.1057622173595912E-2</v>
      </c>
      <c r="O15" s="47">
        <f>O9/O7</f>
        <v>0.17454710144927538</v>
      </c>
      <c r="P15" s="47">
        <f>P9/P7</f>
        <v>3.7500234376464853E-2</v>
      </c>
    </row>
    <row r="16" spans="1:21" x14ac:dyDescent="0.2">
      <c r="A16" s="12" t="s">
        <v>421</v>
      </c>
      <c r="B16" s="47">
        <v>405</v>
      </c>
      <c r="C16" s="47">
        <v>366</v>
      </c>
      <c r="D16" s="47">
        <v>355</v>
      </c>
      <c r="E16" s="48"/>
      <c r="F16" s="47">
        <v>239.90600000000001</v>
      </c>
      <c r="G16" s="47">
        <v>232.59299999999999</v>
      </c>
      <c r="H16" s="47">
        <v>230.22900000000001</v>
      </c>
      <c r="I16" s="12"/>
      <c r="J16" s="47">
        <v>60.179119</v>
      </c>
      <c r="K16" s="47">
        <v>66.735651000000004</v>
      </c>
      <c r="L16" s="47">
        <v>80.954643000000004</v>
      </c>
      <c r="M16" s="12"/>
      <c r="N16" s="47">
        <v>6.7060000000000004</v>
      </c>
      <c r="O16" s="47">
        <v>6.8319999999999999</v>
      </c>
      <c r="P16" s="47">
        <v>6.9459999999999997</v>
      </c>
    </row>
    <row r="17" spans="1:20" x14ac:dyDescent="0.2">
      <c r="A17" s="12" t="s">
        <v>422</v>
      </c>
      <c r="B17" s="65">
        <v>24959.14</v>
      </c>
      <c r="C17" s="65">
        <v>24618.77</v>
      </c>
      <c r="D17" s="65">
        <v>33490.92</v>
      </c>
      <c r="E17" s="65"/>
      <c r="F17" s="65">
        <v>12748.27</v>
      </c>
      <c r="G17" s="65">
        <v>15280</v>
      </c>
      <c r="H17" s="65">
        <v>16940.38</v>
      </c>
      <c r="I17" s="12"/>
      <c r="J17" s="47">
        <v>51.754042339999998</v>
      </c>
      <c r="K17" s="47">
        <v>108.11175462</v>
      </c>
      <c r="L17" s="47">
        <v>90.669200160000003</v>
      </c>
      <c r="M17" s="12"/>
      <c r="N17" s="47">
        <v>51.300899999999999</v>
      </c>
      <c r="O17" s="47">
        <v>191.29599999999999</v>
      </c>
      <c r="P17" s="47">
        <v>114.60899999999999</v>
      </c>
    </row>
    <row r="18" spans="1:20" x14ac:dyDescent="0.2">
      <c r="A18" s="12" t="s">
        <v>423</v>
      </c>
      <c r="B18" s="47">
        <v>1.2949999999999999</v>
      </c>
      <c r="C18" s="47">
        <v>1.262</v>
      </c>
      <c r="D18" s="47">
        <v>1.2350000000000001</v>
      </c>
      <c r="E18" s="12"/>
      <c r="F18" s="47">
        <v>1.2889999999999999</v>
      </c>
      <c r="G18" s="47">
        <v>1.1579999999999999</v>
      </c>
      <c r="H18" s="47">
        <v>1.246</v>
      </c>
      <c r="I18" s="12"/>
      <c r="J18" s="47">
        <v>1.3149999999999999</v>
      </c>
      <c r="K18" s="47">
        <v>1.165</v>
      </c>
      <c r="L18" s="47">
        <v>1.02</v>
      </c>
      <c r="M18" s="12"/>
      <c r="N18" s="47">
        <v>0.82</v>
      </c>
      <c r="O18" s="47">
        <v>0.8</v>
      </c>
      <c r="P18" s="47">
        <v>0.85</v>
      </c>
    </row>
    <row r="19" spans="1:20" x14ac:dyDescent="0.2">
      <c r="A19" s="12" t="s">
        <v>424</v>
      </c>
      <c r="B19" s="47">
        <f>B9/B16</f>
        <v>5.9753086419753085</v>
      </c>
      <c r="C19" s="47">
        <f>C9/C16</f>
        <v>5.4890710382513666</v>
      </c>
      <c r="D19" s="47">
        <f>D9/D16</f>
        <v>4.7408450704225356</v>
      </c>
      <c r="E19" s="12"/>
      <c r="F19" s="49">
        <f>F9/F16</f>
        <v>2.4628771268746927</v>
      </c>
      <c r="G19" s="49">
        <f>G9/G16</f>
        <v>2.2019493277957638</v>
      </c>
      <c r="H19" s="49">
        <f>H9/H16</f>
        <v>2.9599659469484729</v>
      </c>
      <c r="I19" s="12"/>
      <c r="J19" s="47">
        <f>J9/J16</f>
        <v>-4.7923599546214689E-2</v>
      </c>
      <c r="K19" s="47">
        <f>K9/K16</f>
        <v>-0.13908607859388381</v>
      </c>
      <c r="L19" s="47">
        <f>L9/L16</f>
        <v>-8.074892010826358E-2</v>
      </c>
      <c r="M19" s="12"/>
      <c r="N19" s="47">
        <f>N9/N16</f>
        <v>-0.31315240083507306</v>
      </c>
      <c r="O19" s="47">
        <f>O9/O16</f>
        <v>1.6923302107728337</v>
      </c>
      <c r="P19" s="47">
        <f>P9/P16</f>
        <v>0.28793550244745181</v>
      </c>
    </row>
    <row r="20" spans="1:20" x14ac:dyDescent="0.2">
      <c r="A20" s="12" t="s">
        <v>425</v>
      </c>
      <c r="B20" s="49">
        <f>B17/B9</f>
        <v>10.313694214876033</v>
      </c>
      <c r="C20" s="49">
        <f>C17/C9</f>
        <v>12.254240915878547</v>
      </c>
      <c r="D20" s="49">
        <f>D17/D9</f>
        <v>19.899536541889482</v>
      </c>
      <c r="E20" s="12"/>
      <c r="F20" s="49">
        <f>F17/F9</f>
        <v>21.575824350648801</v>
      </c>
      <c r="G20" s="49">
        <f>G17/G9</f>
        <v>29.834543246420051</v>
      </c>
      <c r="H20" s="49">
        <f>H17/H9</f>
        <v>24.858585117466653</v>
      </c>
      <c r="I20" s="12"/>
      <c r="J20" s="49">
        <f>J17/J9</f>
        <v>-17.945229660194176</v>
      </c>
      <c r="K20" s="49">
        <f>K17/K9</f>
        <v>-11.647463329023918</v>
      </c>
      <c r="L20" s="49">
        <f>L17/L9</f>
        <v>-13.870154529600734</v>
      </c>
      <c r="M20" s="12"/>
      <c r="N20" s="49">
        <f>N17/N9</f>
        <v>-24.428999999999998</v>
      </c>
      <c r="O20" s="49">
        <f>O17/O9</f>
        <v>16.5452343885141</v>
      </c>
      <c r="P20" s="49">
        <f>P17/P9</f>
        <v>57.304499999999997</v>
      </c>
    </row>
    <row r="21" spans="1:20" x14ac:dyDescent="0.2">
      <c r="A21" s="9" t="s">
        <v>426</v>
      </c>
      <c r="B21" s="50">
        <f>B11/B17</f>
        <v>0.15561433607087424</v>
      </c>
      <c r="C21" s="50">
        <f t="shared" ref="C21:D21" si="0">C11/C17</f>
        <v>0.16532101319440409</v>
      </c>
      <c r="D21" s="50">
        <f t="shared" si="0"/>
        <v>0.12970679814110811</v>
      </c>
      <c r="E21" s="9"/>
      <c r="F21" s="50">
        <f>F11/F17</f>
        <v>0.14638182278850384</v>
      </c>
      <c r="G21" s="50">
        <f t="shared" ref="G21:H21" si="1">G11/G17</f>
        <v>0.1349897905759162</v>
      </c>
      <c r="H21" s="50">
        <f t="shared" si="1"/>
        <v>0.11016081103257423</v>
      </c>
      <c r="I21" s="9"/>
      <c r="J21" s="50">
        <f>J11/J17</f>
        <v>7.1372009469975642E-2</v>
      </c>
      <c r="K21" s="50">
        <f t="shared" ref="K21" si="2">K11/K17</f>
        <v>5.1590070104811696E-2</v>
      </c>
      <c r="L21" s="50">
        <f>L11/L17</f>
        <v>5.8436525199849078E-2</v>
      </c>
      <c r="M21" s="9"/>
      <c r="N21" s="50"/>
      <c r="O21" s="50"/>
      <c r="P21" s="50"/>
    </row>
    <row r="22" spans="1:20" x14ac:dyDescent="0.2">
      <c r="A22" s="12" t="s">
        <v>427</v>
      </c>
      <c r="B22" s="12"/>
      <c r="C22" s="12"/>
      <c r="D22" s="12"/>
      <c r="E22" s="12"/>
      <c r="F22" s="12"/>
      <c r="G22" s="12"/>
      <c r="H22" s="12"/>
      <c r="I22" s="12"/>
      <c r="J22" s="12"/>
      <c r="K22" s="12"/>
      <c r="L22" s="12"/>
      <c r="M22" s="12"/>
      <c r="N22" s="12"/>
      <c r="O22" s="12"/>
      <c r="P22" s="12"/>
    </row>
    <row r="24" spans="1:20" x14ac:dyDescent="0.2">
      <c r="A24" s="66"/>
      <c r="B24" s="67"/>
      <c r="C24" s="67"/>
      <c r="D24" s="67"/>
      <c r="E24" s="67"/>
      <c r="F24" s="67"/>
      <c r="G24" s="67"/>
      <c r="H24" s="67"/>
      <c r="I24" s="67"/>
      <c r="J24" s="67"/>
      <c r="K24" s="67"/>
      <c r="L24" s="67"/>
      <c r="M24" s="67"/>
      <c r="N24" s="67"/>
      <c r="O24" s="67"/>
      <c r="P24" s="67"/>
      <c r="R24" s="62"/>
      <c r="S24" s="62"/>
      <c r="T24" s="62"/>
    </row>
    <row r="25" spans="1:20" x14ac:dyDescent="0.2">
      <c r="A25" s="68"/>
      <c r="B25" s="67"/>
      <c r="C25" s="84"/>
      <c r="D25" s="84"/>
      <c r="E25" s="67"/>
      <c r="F25" s="67"/>
      <c r="G25" s="84"/>
      <c r="H25" s="84"/>
      <c r="I25" s="67"/>
      <c r="J25" s="67"/>
      <c r="K25" s="67"/>
      <c r="L25" s="84"/>
      <c r="M25" s="67"/>
      <c r="N25" s="67"/>
      <c r="O25" s="67"/>
      <c r="P25" s="84"/>
      <c r="R25" s="62"/>
      <c r="S25" s="62"/>
      <c r="T25" s="62"/>
    </row>
    <row r="26" spans="1:20" x14ac:dyDescent="0.2">
      <c r="A26" s="66"/>
      <c r="B26" s="69"/>
      <c r="C26" s="69"/>
      <c r="D26" s="69"/>
      <c r="E26" s="69"/>
      <c r="F26" s="69"/>
      <c r="G26" s="69"/>
      <c r="H26" s="69"/>
      <c r="I26" s="69"/>
      <c r="J26" s="69"/>
      <c r="K26" s="69"/>
      <c r="L26" s="69"/>
      <c r="M26" s="69"/>
      <c r="N26" s="69"/>
      <c r="O26" s="69"/>
      <c r="P26" s="69"/>
      <c r="R26" s="62"/>
      <c r="S26" s="62"/>
      <c r="T26" s="62"/>
    </row>
    <row r="27" spans="1:20" x14ac:dyDescent="0.2">
      <c r="A27" s="68"/>
      <c r="B27" s="67"/>
      <c r="C27" s="67"/>
      <c r="D27" s="67"/>
      <c r="E27" s="67"/>
      <c r="F27" s="67"/>
      <c r="G27" s="67"/>
      <c r="H27" s="67"/>
      <c r="I27" s="67"/>
      <c r="J27" s="67"/>
      <c r="K27" s="67"/>
      <c r="L27" s="67"/>
      <c r="M27" s="67"/>
      <c r="N27" s="67"/>
      <c r="O27" s="67"/>
      <c r="P27" s="67"/>
      <c r="R27" s="71"/>
      <c r="S27" s="71"/>
      <c r="T27" s="71"/>
    </row>
  </sheetData>
  <mergeCells count="6">
    <mergeCell ref="A1:XFD1"/>
    <mergeCell ref="A2:XFD2"/>
    <mergeCell ref="B4:D4"/>
    <mergeCell ref="F4:H4"/>
    <mergeCell ref="J4:L4"/>
    <mergeCell ref="N4:P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K20"/>
  <sheetViews>
    <sheetView zoomScale="110" zoomScaleNormal="110" workbookViewId="0">
      <selection activeCell="D14" sqref="D14"/>
    </sheetView>
  </sheetViews>
  <sheetFormatPr baseColWidth="10" defaultColWidth="8.83203125" defaultRowHeight="12" x14ac:dyDescent="0.15"/>
  <cols>
    <col min="1" max="1" width="20.33203125" style="5" customWidth="1"/>
    <col min="2" max="16384" width="8.83203125" style="5"/>
  </cols>
  <sheetData>
    <row r="1" spans="1:11" s="12" customFormat="1" ht="14" x14ac:dyDescent="0.2">
      <c r="A1" s="235" t="s">
        <v>428</v>
      </c>
      <c r="B1" s="235"/>
      <c r="C1" s="235"/>
      <c r="D1" s="235"/>
      <c r="E1" s="235"/>
      <c r="F1" s="235"/>
      <c r="G1" s="235"/>
      <c r="H1" s="235"/>
      <c r="I1" s="235"/>
      <c r="J1" s="235"/>
      <c r="K1" s="235"/>
    </row>
    <row r="2" spans="1:11" s="12" customFormat="1" ht="14" x14ac:dyDescent="0.2">
      <c r="A2" s="235" t="s">
        <v>429</v>
      </c>
      <c r="B2" s="235"/>
      <c r="C2" s="235"/>
      <c r="D2" s="235"/>
      <c r="E2" s="235"/>
      <c r="F2" s="235"/>
      <c r="G2" s="235"/>
      <c r="H2" s="235"/>
      <c r="I2" s="235"/>
      <c r="J2" s="235"/>
      <c r="K2" s="235"/>
    </row>
    <row r="3" spans="1:11" s="12" customFormat="1" ht="14" x14ac:dyDescent="0.2">
      <c r="A3" s="8"/>
      <c r="B3" s="10"/>
      <c r="C3" s="10"/>
      <c r="D3" s="10"/>
    </row>
    <row r="4" spans="1:11" s="12" customFormat="1" ht="14" x14ac:dyDescent="0.2">
      <c r="A4" s="15"/>
      <c r="B4" s="51">
        <v>2014</v>
      </c>
      <c r="C4" s="51">
        <v>2015</v>
      </c>
      <c r="D4" s="51">
        <f>C4+1</f>
        <v>2016</v>
      </c>
    </row>
    <row r="5" spans="1:11" s="12" customFormat="1" ht="14" x14ac:dyDescent="0.2">
      <c r="A5" s="12" t="s">
        <v>285</v>
      </c>
      <c r="B5" s="13">
        <v>379.09193212000014</v>
      </c>
      <c r="C5" s="13">
        <v>350.20031570463993</v>
      </c>
      <c r="D5" s="13">
        <v>359.75383404262999</v>
      </c>
    </row>
    <row r="6" spans="1:11" s="12" customFormat="1" ht="14" x14ac:dyDescent="0.2">
      <c r="A6" s="12" t="s">
        <v>286</v>
      </c>
      <c r="B6" s="13">
        <v>485.91219600000011</v>
      </c>
      <c r="C6" s="13">
        <v>592.00597038240016</v>
      </c>
      <c r="D6" s="13">
        <v>680.14353394884972</v>
      </c>
    </row>
    <row r="7" spans="1:11" s="12" customFormat="1" ht="14" x14ac:dyDescent="0.2">
      <c r="A7" s="9" t="s">
        <v>111</v>
      </c>
      <c r="B7" s="14">
        <v>279.76762800000006</v>
      </c>
      <c r="C7" s="14">
        <v>413.6909190624001</v>
      </c>
      <c r="D7" s="14">
        <v>480.58046111355844</v>
      </c>
    </row>
    <row r="8" spans="1:11" s="12" customFormat="1" ht="14" x14ac:dyDescent="0.2">
      <c r="A8" s="12" t="s">
        <v>287</v>
      </c>
      <c r="B8" s="13">
        <v>27.756259999999997</v>
      </c>
      <c r="C8" s="13">
        <v>5.1564799999999993</v>
      </c>
      <c r="D8" s="13">
        <v>16.873639999999998</v>
      </c>
    </row>
    <row r="9" spans="1:11" s="12" customFormat="1" ht="14" x14ac:dyDescent="0.2">
      <c r="A9" s="12" t="s">
        <v>288</v>
      </c>
      <c r="B9" s="13">
        <v>1172.5280161200003</v>
      </c>
      <c r="C9" s="13">
        <v>1361.0536851494403</v>
      </c>
      <c r="D9" s="13">
        <v>1537.3514691050382</v>
      </c>
    </row>
    <row r="10" spans="1:11" s="12" customFormat="1" ht="14" x14ac:dyDescent="0.2">
      <c r="B10" s="13"/>
      <c r="C10" s="13"/>
      <c r="D10" s="13"/>
    </row>
    <row r="11" spans="1:11" s="12" customFormat="1" ht="14" x14ac:dyDescent="0.2">
      <c r="A11" s="12" t="s">
        <v>289</v>
      </c>
      <c r="B11" s="13">
        <v>249.05317976000001</v>
      </c>
      <c r="C11" s="13">
        <v>339.28059572792006</v>
      </c>
      <c r="D11" s="13">
        <v>479.78928986705364</v>
      </c>
    </row>
    <row r="12" spans="1:11" s="12" customFormat="1" ht="14" x14ac:dyDescent="0.2">
      <c r="A12" s="15" t="s">
        <v>290</v>
      </c>
      <c r="B12" s="16">
        <v>1421.5811958800002</v>
      </c>
      <c r="C12" s="16">
        <v>1700.3342808773605</v>
      </c>
      <c r="D12" s="16">
        <v>2017.1407589720918</v>
      </c>
    </row>
    <row r="13" spans="1:11" s="12" customFormat="1" ht="14" x14ac:dyDescent="0.2">
      <c r="B13" s="13"/>
      <c r="C13" s="13"/>
      <c r="D13" s="13"/>
    </row>
    <row r="14" spans="1:11" s="12" customFormat="1" ht="14" x14ac:dyDescent="0.2">
      <c r="A14" s="12" t="s">
        <v>291</v>
      </c>
      <c r="B14" s="13">
        <v>340.6</v>
      </c>
      <c r="C14" s="13">
        <v>340.6</v>
      </c>
      <c r="D14" s="13">
        <v>310.60000000000002</v>
      </c>
    </row>
    <row r="15" spans="1:11" s="12" customFormat="1" ht="14" x14ac:dyDescent="0.2">
      <c r="A15" s="12" t="s">
        <v>292</v>
      </c>
      <c r="B15" s="13">
        <v>126.63166320000001</v>
      </c>
      <c r="C15" s="13">
        <v>153.35094413520002</v>
      </c>
      <c r="D15" s="13">
        <v>175.12677820239841</v>
      </c>
    </row>
    <row r="16" spans="1:11" s="12" customFormat="1" ht="14" x14ac:dyDescent="0.2">
      <c r="A16" s="12" t="s">
        <v>293</v>
      </c>
      <c r="B16" s="13">
        <v>104.8579</v>
      </c>
      <c r="C16" s="13">
        <v>76.988100000000003</v>
      </c>
      <c r="D16" s="13">
        <v>101.81789430372002</v>
      </c>
    </row>
    <row r="17" spans="1:4" s="12" customFormat="1" ht="14" x14ac:dyDescent="0.2">
      <c r="A17" s="9" t="s">
        <v>294</v>
      </c>
      <c r="B17" s="14">
        <v>572.08956320000004</v>
      </c>
      <c r="C17" s="14">
        <v>570.93904413520011</v>
      </c>
      <c r="D17" s="14">
        <v>587.54467250611845</v>
      </c>
    </row>
    <row r="18" spans="1:4" s="12" customFormat="1" ht="14" x14ac:dyDescent="0.2">
      <c r="B18" s="13"/>
      <c r="C18" s="13"/>
      <c r="D18" s="13"/>
    </row>
    <row r="19" spans="1:4" s="12" customFormat="1" ht="14" x14ac:dyDescent="0.2">
      <c r="A19" s="12" t="s">
        <v>295</v>
      </c>
      <c r="B19" s="13">
        <v>849.5</v>
      </c>
      <c r="C19" s="13">
        <v>1129.40360406216</v>
      </c>
      <c r="D19" s="13">
        <v>1429.604453785973</v>
      </c>
    </row>
    <row r="20" spans="1:4" s="12" customFormat="1" ht="14" x14ac:dyDescent="0.2">
      <c r="A20" s="9" t="s">
        <v>296</v>
      </c>
      <c r="B20" s="14">
        <v>1421.5895632000002</v>
      </c>
      <c r="C20" s="14">
        <v>1700.3426481973602</v>
      </c>
      <c r="D20" s="14">
        <v>2017.1491262920913</v>
      </c>
    </row>
  </sheetData>
  <mergeCells count="2">
    <mergeCell ref="A2:K2"/>
    <mergeCell ref="A1:K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J20"/>
  <sheetViews>
    <sheetView zoomScale="118" workbookViewId="0">
      <selection activeCell="D13" sqref="D13"/>
    </sheetView>
  </sheetViews>
  <sheetFormatPr baseColWidth="10" defaultColWidth="8.83203125" defaultRowHeight="13" x14ac:dyDescent="0.15"/>
  <cols>
    <col min="1" max="1" width="27.1640625" style="7" customWidth="1"/>
    <col min="2" max="16384" width="8.83203125" style="7"/>
  </cols>
  <sheetData>
    <row r="1" spans="1:10" s="12" customFormat="1" ht="14" x14ac:dyDescent="0.2">
      <c r="A1" s="235" t="s">
        <v>430</v>
      </c>
      <c r="B1" s="235"/>
      <c r="C1" s="235"/>
      <c r="D1" s="235"/>
      <c r="E1" s="235"/>
      <c r="F1" s="235"/>
      <c r="G1" s="235"/>
      <c r="H1" s="235"/>
      <c r="I1" s="235"/>
      <c r="J1" s="235"/>
    </row>
    <row r="2" spans="1:10" s="12" customFormat="1" ht="14" x14ac:dyDescent="0.2">
      <c r="A2" s="235" t="s">
        <v>431</v>
      </c>
      <c r="B2" s="235"/>
      <c r="C2" s="235"/>
      <c r="D2" s="235"/>
      <c r="E2" s="235"/>
      <c r="F2" s="235"/>
      <c r="G2" s="235"/>
      <c r="H2" s="235"/>
      <c r="I2" s="235"/>
      <c r="J2" s="235"/>
    </row>
    <row r="3" spans="1:10" s="12" customFormat="1" ht="14" x14ac:dyDescent="0.2">
      <c r="A3" s="8"/>
    </row>
    <row r="4" spans="1:10" s="12" customFormat="1" ht="14" x14ac:dyDescent="0.2">
      <c r="A4" s="41"/>
      <c r="B4" s="51">
        <v>2014</v>
      </c>
      <c r="C4" s="51">
        <v>2015</v>
      </c>
      <c r="D4" s="51">
        <f>C4+1</f>
        <v>2016</v>
      </c>
    </row>
    <row r="5" spans="1:10" s="12" customFormat="1" ht="14" x14ac:dyDescent="0.2">
      <c r="A5" s="12" t="s">
        <v>257</v>
      </c>
      <c r="B5" s="28">
        <v>2944.9224000000004</v>
      </c>
      <c r="C5" s="28">
        <v>3566.3010264000009</v>
      </c>
      <c r="D5" s="28">
        <v>4072.7157721488006</v>
      </c>
    </row>
    <row r="6" spans="1:10" s="12" customFormat="1" ht="14" x14ac:dyDescent="0.2">
      <c r="A6" s="9" t="s">
        <v>86</v>
      </c>
      <c r="B6" s="31">
        <v>1524.95616</v>
      </c>
      <c r="C6" s="31">
        <v>1811.6809214112004</v>
      </c>
      <c r="D6" s="31">
        <v>2085.2304753401859</v>
      </c>
    </row>
    <row r="7" spans="1:10" s="12" customFormat="1" ht="14" x14ac:dyDescent="0.2">
      <c r="A7" s="12" t="s">
        <v>258</v>
      </c>
      <c r="B7" s="28">
        <v>1419.9662400000004</v>
      </c>
      <c r="C7" s="28">
        <v>1754.6201049888004</v>
      </c>
      <c r="D7" s="28">
        <v>1987.4852968086147</v>
      </c>
    </row>
    <row r="8" spans="1:10" s="12" customFormat="1" ht="14" x14ac:dyDescent="0.2"/>
    <row r="9" spans="1:10" s="12" customFormat="1" ht="14" x14ac:dyDescent="0.2">
      <c r="A9" s="12" t="s">
        <v>260</v>
      </c>
      <c r="B9" s="28">
        <v>814.86002808000012</v>
      </c>
      <c r="C9" s="28">
        <v>930.09130768512034</v>
      </c>
      <c r="D9" s="28">
        <v>1080.8987659282916</v>
      </c>
    </row>
    <row r="10" spans="1:10" s="12" customFormat="1" ht="14" x14ac:dyDescent="0.2">
      <c r="A10" s="12" t="s">
        <v>262</v>
      </c>
      <c r="B10" s="28">
        <v>153.13596480000001</v>
      </c>
      <c r="C10" s="28">
        <v>178.31505132000007</v>
      </c>
      <c r="D10" s="28">
        <v>219.92665169603524</v>
      </c>
    </row>
    <row r="11" spans="1:10" s="12" customFormat="1" ht="14" x14ac:dyDescent="0.2">
      <c r="A11" s="12" t="s">
        <v>263</v>
      </c>
      <c r="B11" s="28">
        <v>142.23975192</v>
      </c>
      <c r="C11" s="28">
        <v>196.85981665728002</v>
      </c>
      <c r="D11" s="28">
        <v>206.07941807072928</v>
      </c>
    </row>
    <row r="12" spans="1:10" s="12" customFormat="1" ht="14" x14ac:dyDescent="0.2">
      <c r="A12" s="9" t="s">
        <v>266</v>
      </c>
      <c r="B12" s="31">
        <v>18.733000000000001</v>
      </c>
      <c r="C12" s="31">
        <v>18.733000000000001</v>
      </c>
      <c r="D12" s="31">
        <v>18.733000000000001</v>
      </c>
    </row>
    <row r="13" spans="1:10" s="12" customFormat="1" ht="14" x14ac:dyDescent="0.2">
      <c r="A13" s="12" t="s">
        <v>267</v>
      </c>
      <c r="B13" s="28">
        <v>290.99749520000023</v>
      </c>
      <c r="C13" s="28">
        <v>430.62092932639985</v>
      </c>
      <c r="D13" s="28">
        <v>461.84746111355867</v>
      </c>
    </row>
    <row r="14" spans="1:10" s="12" customFormat="1" ht="14" x14ac:dyDescent="0.2">
      <c r="B14" s="33"/>
      <c r="C14" s="33"/>
      <c r="D14" s="33"/>
    </row>
    <row r="15" spans="1:10" s="12" customFormat="1" ht="14" x14ac:dyDescent="0.2">
      <c r="A15" s="9" t="s">
        <v>270</v>
      </c>
      <c r="B15" s="31">
        <v>101.84912332000007</v>
      </c>
      <c r="C15" s="31">
        <v>150.71732526423995</v>
      </c>
      <c r="D15" s="31">
        <v>161.64661138974552</v>
      </c>
    </row>
    <row r="16" spans="1:10" s="12" customFormat="1" ht="14" x14ac:dyDescent="0.2">
      <c r="A16" s="12" t="s">
        <v>272</v>
      </c>
      <c r="B16" s="28">
        <v>189.14837188000016</v>
      </c>
      <c r="C16" s="28">
        <v>279.9036040621599</v>
      </c>
      <c r="D16" s="28">
        <v>300.20084972381312</v>
      </c>
    </row>
    <row r="17" spans="1:4" s="12" customFormat="1" ht="14" x14ac:dyDescent="0.2">
      <c r="B17" s="33"/>
      <c r="C17" s="33"/>
      <c r="D17" s="33"/>
    </row>
    <row r="18" spans="1:4" s="12" customFormat="1" ht="14" x14ac:dyDescent="0.2">
      <c r="A18" s="12" t="s">
        <v>274</v>
      </c>
      <c r="B18" s="33">
        <v>1100</v>
      </c>
      <c r="C18" s="33">
        <v>1100</v>
      </c>
      <c r="D18" s="33">
        <v>1100</v>
      </c>
    </row>
    <row r="19" spans="1:4" s="12" customFormat="1" ht="14" x14ac:dyDescent="0.2">
      <c r="A19" s="12" t="s">
        <v>276</v>
      </c>
      <c r="B19" s="34">
        <f>B16/B18</f>
        <v>0.17195306534545468</v>
      </c>
      <c r="C19" s="34">
        <f>C16/C18</f>
        <v>0.25445782187469079</v>
      </c>
      <c r="D19" s="34">
        <f>D16/D18</f>
        <v>0.27290986338528467</v>
      </c>
    </row>
    <row r="20" spans="1:4" s="12" customFormat="1" ht="14" x14ac:dyDescent="0.2">
      <c r="A20" s="9" t="s">
        <v>277</v>
      </c>
      <c r="B20" s="31">
        <v>0</v>
      </c>
      <c r="C20" s="31">
        <v>0</v>
      </c>
      <c r="D20" s="31">
        <v>0</v>
      </c>
    </row>
  </sheetData>
  <mergeCells count="2">
    <mergeCell ref="A1:J1"/>
    <mergeCell ref="A2:J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J29"/>
  <sheetViews>
    <sheetView zoomScale="104" workbookViewId="0">
      <selection activeCell="E23" sqref="E23"/>
    </sheetView>
  </sheetViews>
  <sheetFormatPr baseColWidth="10" defaultColWidth="8.83203125" defaultRowHeight="13" x14ac:dyDescent="0.15"/>
  <cols>
    <col min="1" max="1" width="37" style="7" customWidth="1"/>
    <col min="2" max="16384" width="8.83203125" style="7"/>
  </cols>
  <sheetData>
    <row r="1" spans="1:10" s="12" customFormat="1" ht="14" x14ac:dyDescent="0.2">
      <c r="A1" s="235" t="s">
        <v>432</v>
      </c>
      <c r="B1" s="235"/>
      <c r="C1" s="235"/>
      <c r="D1" s="235"/>
      <c r="E1" s="235"/>
      <c r="F1" s="235"/>
      <c r="G1" s="235"/>
      <c r="H1" s="235"/>
      <c r="I1" s="235"/>
      <c r="J1" s="235"/>
    </row>
    <row r="2" spans="1:10" s="12" customFormat="1" ht="14" x14ac:dyDescent="0.2">
      <c r="A2" s="235" t="s">
        <v>433</v>
      </c>
      <c r="B2" s="235"/>
      <c r="C2" s="235"/>
      <c r="D2" s="235"/>
      <c r="E2" s="235"/>
      <c r="F2" s="235"/>
      <c r="G2" s="235"/>
      <c r="H2" s="235"/>
      <c r="I2" s="235"/>
      <c r="J2" s="235"/>
    </row>
    <row r="3" spans="1:10" s="12" customFormat="1" ht="14" x14ac:dyDescent="0.2">
      <c r="A3" s="24"/>
    </row>
    <row r="4" spans="1:10" s="12" customFormat="1" ht="14" x14ac:dyDescent="0.2">
      <c r="A4" s="38"/>
      <c r="B4" s="51">
        <v>2014</v>
      </c>
      <c r="C4" s="51">
        <v>2015</v>
      </c>
      <c r="D4" s="51">
        <f>C4+1</f>
        <v>2016</v>
      </c>
    </row>
    <row r="5" spans="1:10" s="12" customFormat="1" ht="14" x14ac:dyDescent="0.2">
      <c r="A5" s="37" t="s">
        <v>393</v>
      </c>
    </row>
    <row r="6" spans="1:10" s="12" customFormat="1" ht="14" x14ac:dyDescent="0.2">
      <c r="A6" s="12" t="s">
        <v>272</v>
      </c>
      <c r="B6" s="28">
        <v>189.14837188000016</v>
      </c>
      <c r="C6" s="28">
        <v>279.9036040621599</v>
      </c>
      <c r="D6" s="28">
        <v>300.20084972381312</v>
      </c>
    </row>
    <row r="7" spans="1:10" s="12" customFormat="1" ht="14" x14ac:dyDescent="0.2">
      <c r="A7" s="12" t="s">
        <v>263</v>
      </c>
      <c r="B7" s="28">
        <v>142.23975192</v>
      </c>
      <c r="C7" s="28">
        <v>196.85981665728002</v>
      </c>
      <c r="D7" s="28">
        <v>206.07941807072928</v>
      </c>
    </row>
    <row r="8" spans="1:10" s="12" customFormat="1" ht="14" x14ac:dyDescent="0.2">
      <c r="A8" s="12" t="s">
        <v>394</v>
      </c>
      <c r="B8" s="28">
        <v>8.9615399999999994</v>
      </c>
      <c r="C8" s="28">
        <v>106.09377438240006</v>
      </c>
      <c r="D8" s="28">
        <v>88.137563566449558</v>
      </c>
    </row>
    <row r="9" spans="1:10" s="12" customFormat="1" ht="14" x14ac:dyDescent="0.2">
      <c r="A9" s="12" t="s">
        <v>395</v>
      </c>
      <c r="B9" s="28">
        <v>-108.5</v>
      </c>
      <c r="C9" s="28">
        <v>133.92329106240004</v>
      </c>
      <c r="D9" s="28">
        <v>66.889542051158344</v>
      </c>
    </row>
    <row r="10" spans="1:10" s="12" customFormat="1" ht="14" x14ac:dyDescent="0.2">
      <c r="A10" s="12" t="s">
        <v>434</v>
      </c>
      <c r="B10" s="28">
        <v>-28</v>
      </c>
      <c r="C10" s="28">
        <v>-22.599779999999999</v>
      </c>
      <c r="D10" s="28">
        <v>11.71716</v>
      </c>
    </row>
    <row r="11" spans="1:10" s="12" customFormat="1" ht="14" x14ac:dyDescent="0.2">
      <c r="A11" s="12" t="s">
        <v>397</v>
      </c>
      <c r="B11" s="28">
        <v>34.958280000000002</v>
      </c>
      <c r="C11" s="28">
        <v>26.719280935200018</v>
      </c>
      <c r="D11" s="28">
        <v>21.775834067198389</v>
      </c>
    </row>
    <row r="12" spans="1:10" s="12" customFormat="1" ht="14" x14ac:dyDescent="0.2">
      <c r="A12" s="9" t="s">
        <v>398</v>
      </c>
      <c r="B12" s="31">
        <v>14</v>
      </c>
      <c r="C12" s="31">
        <v>-27.869799999999998</v>
      </c>
      <c r="D12" s="31">
        <v>24.829794303720021</v>
      </c>
    </row>
    <row r="13" spans="1:10" s="12" customFormat="1" ht="14" x14ac:dyDescent="0.2">
      <c r="A13" s="12" t="s">
        <v>400</v>
      </c>
      <c r="B13" s="28">
        <v>507.88486380000012</v>
      </c>
      <c r="C13" s="28">
        <v>258.19561620983984</v>
      </c>
      <c r="D13" s="28">
        <v>386.14163054785291</v>
      </c>
    </row>
    <row r="14" spans="1:10" s="12" customFormat="1" ht="14" x14ac:dyDescent="0.2">
      <c r="B14" s="28"/>
      <c r="C14" s="28"/>
      <c r="D14" s="28"/>
    </row>
    <row r="15" spans="1:10" s="12" customFormat="1" ht="14" x14ac:dyDescent="0.2">
      <c r="A15" s="24" t="s">
        <v>304</v>
      </c>
      <c r="B15" s="28"/>
      <c r="C15" s="28"/>
      <c r="D15" s="28"/>
    </row>
    <row r="16" spans="1:10" s="12" customFormat="1" ht="14" x14ac:dyDescent="0.2">
      <c r="A16" s="9" t="s">
        <v>305</v>
      </c>
      <c r="B16" s="31">
        <v>-230.29293168000001</v>
      </c>
      <c r="C16" s="31">
        <v>-287.08723262520004</v>
      </c>
      <c r="D16" s="31">
        <v>-346.58811220986286</v>
      </c>
    </row>
    <row r="17" spans="1:4" s="12" customFormat="1" ht="14" x14ac:dyDescent="0.2">
      <c r="A17" s="12" t="s">
        <v>306</v>
      </c>
      <c r="B17" s="28">
        <v>-230.29293168000001</v>
      </c>
      <c r="C17" s="28">
        <v>-287.08723262520004</v>
      </c>
      <c r="D17" s="28">
        <v>-346.58811220986286</v>
      </c>
    </row>
    <row r="18" spans="1:4" s="12" customFormat="1" ht="14" x14ac:dyDescent="0.2">
      <c r="B18" s="28"/>
      <c r="C18" s="28"/>
      <c r="D18" s="28"/>
    </row>
    <row r="19" spans="1:4" s="12" customFormat="1" ht="14" x14ac:dyDescent="0.2">
      <c r="A19" s="24" t="s">
        <v>401</v>
      </c>
      <c r="B19" s="28"/>
      <c r="C19" s="28"/>
      <c r="D19" s="28"/>
    </row>
    <row r="20" spans="1:4" s="12" customFormat="1" ht="14" x14ac:dyDescent="0.2">
      <c r="A20" s="12" t="s">
        <v>435</v>
      </c>
      <c r="B20" s="28">
        <v>-100</v>
      </c>
      <c r="C20" s="28">
        <v>0</v>
      </c>
      <c r="D20" s="28">
        <v>-30</v>
      </c>
    </row>
    <row r="21" spans="1:4" s="12" customFormat="1" ht="14" x14ac:dyDescent="0.2">
      <c r="A21" s="12" t="s">
        <v>404</v>
      </c>
      <c r="B21" s="28">
        <v>0</v>
      </c>
      <c r="C21" s="28">
        <v>0</v>
      </c>
      <c r="D21" s="28">
        <v>0</v>
      </c>
    </row>
    <row r="22" spans="1:4" s="12" customFormat="1" ht="14" x14ac:dyDescent="0.2">
      <c r="A22" s="9" t="s">
        <v>405</v>
      </c>
      <c r="B22" s="31">
        <v>0</v>
      </c>
      <c r="C22" s="31">
        <v>0</v>
      </c>
      <c r="D22" s="31">
        <v>0</v>
      </c>
    </row>
    <row r="23" spans="1:4" s="12" customFormat="1" ht="14" x14ac:dyDescent="0.2">
      <c r="A23" s="12" t="s">
        <v>406</v>
      </c>
      <c r="B23" s="28">
        <v>-100</v>
      </c>
      <c r="C23" s="28">
        <v>0</v>
      </c>
      <c r="D23" s="28">
        <v>-30</v>
      </c>
    </row>
    <row r="24" spans="1:4" s="12" customFormat="1" ht="14" x14ac:dyDescent="0.2">
      <c r="B24" s="28"/>
      <c r="C24" s="28"/>
      <c r="D24" s="28"/>
    </row>
    <row r="25" spans="1:4" s="12" customFormat="1" ht="14" x14ac:dyDescent="0.2">
      <c r="A25" s="8" t="s">
        <v>407</v>
      </c>
      <c r="B25" s="31">
        <v>177.59193212000014</v>
      </c>
      <c r="C25" s="31">
        <v>-28.891616415360204</v>
      </c>
      <c r="D25" s="31">
        <v>9.5535183379900559</v>
      </c>
    </row>
    <row r="26" spans="1:4" s="12" customFormat="1" ht="14" x14ac:dyDescent="0.2">
      <c r="B26" s="28"/>
      <c r="C26" s="28"/>
      <c r="D26" s="28"/>
    </row>
    <row r="27" spans="1:4" s="12" customFormat="1" ht="14" x14ac:dyDescent="0.2">
      <c r="A27" s="9" t="s">
        <v>408</v>
      </c>
      <c r="B27" s="31">
        <v>201.5</v>
      </c>
      <c r="C27" s="31">
        <v>379.09193212000014</v>
      </c>
      <c r="D27" s="31">
        <v>350.20031570463993</v>
      </c>
    </row>
    <row r="28" spans="1:4" s="12" customFormat="1" ht="14" x14ac:dyDescent="0.2">
      <c r="A28" s="12" t="s">
        <v>409</v>
      </c>
      <c r="B28" s="28">
        <v>177.59193212000014</v>
      </c>
      <c r="C28" s="28">
        <v>-28.891616415360204</v>
      </c>
      <c r="D28" s="28">
        <v>9.5535183379900559</v>
      </c>
    </row>
    <row r="29" spans="1:4" s="12" customFormat="1" ht="14" x14ac:dyDescent="0.2">
      <c r="A29" s="8" t="s">
        <v>410</v>
      </c>
      <c r="B29" s="45">
        <v>379.09193212000014</v>
      </c>
      <c r="C29" s="45">
        <v>350.20031570463993</v>
      </c>
      <c r="D29" s="45">
        <v>359.75383404262999</v>
      </c>
    </row>
  </sheetData>
  <mergeCells count="2">
    <mergeCell ref="A1:J1"/>
    <mergeCell ref="A2:J2"/>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CC4EB6-2C54-414F-A41D-2C6B6476A035}">
  <ds:schemaRefs>
    <ds:schemaRef ds:uri="http://schemas.microsoft.com/DataMashup"/>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Burton EE Ratios</vt:lpstr>
      <vt:lpstr>Burton Stock Value</vt:lpstr>
      <vt:lpstr>Burton Thermowell</vt:lpstr>
      <vt:lpstr>Thermowell FCFFs Graphed</vt:lpstr>
      <vt:lpstr>Burton WACC</vt:lpstr>
      <vt:lpstr>Burton M&amp;A Deals</vt:lpstr>
      <vt:lpstr>EE Acq NPV</vt:lpstr>
      <vt:lpstr>EE Acquisition</vt:lpstr>
      <vt:lpstr>Stock Issuance</vt:lpstr>
      <vt:lpstr>Exh. 1 Burton BS</vt:lpstr>
      <vt:lpstr>Exh. 2 Burton IS</vt:lpstr>
      <vt:lpstr>Exh. 3 Burton SOCF</vt:lpstr>
      <vt:lpstr>Exh. 4 Sensor Industry</vt:lpstr>
      <vt:lpstr>Exh. 5 EE BS</vt:lpstr>
      <vt:lpstr>Exh. 6 EE IS</vt:lpstr>
      <vt:lpstr>Exh. 7 EE SOCF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Fu</dc:creator>
  <cp:keywords/>
  <dc:description/>
  <cp:lastModifiedBy>Tarapchak, Ryan James</cp:lastModifiedBy>
  <cp:revision/>
  <dcterms:created xsi:type="dcterms:W3CDTF">2018-03-11T01:41:21Z</dcterms:created>
  <dcterms:modified xsi:type="dcterms:W3CDTF">2026-04-01T02:17:39Z</dcterms:modified>
  <cp:category/>
  <cp:contentStatus/>
</cp:coreProperties>
</file>