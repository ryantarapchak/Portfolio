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24226"/>
  <mc:AlternateContent xmlns:mc="http://schemas.openxmlformats.org/markup-compatibility/2006">
    <mc:Choice Requires="x15">
      <x15ac:absPath xmlns:x15ac="http://schemas.microsoft.com/office/spreadsheetml/2010/11/ac" url="/Users/ryantarapchak/"/>
    </mc:Choice>
  </mc:AlternateContent>
  <xr:revisionPtr revIDLastSave="0" documentId="8_{4F8A0F2F-F8D7-1440-B2E7-DA4BD4C49856}" xr6:coauthVersionLast="47" xr6:coauthVersionMax="47" xr10:uidLastSave="{00000000-0000-0000-0000-000000000000}"/>
  <bookViews>
    <workbookView xWindow="0" yWindow="600" windowWidth="26820" windowHeight="15760" xr2:uid="{2D79BE6F-A2B6-4C46-B161-ACE7702E176E}"/>
  </bookViews>
  <sheets>
    <sheet name="Wrigley Model" sheetId="7" r:id="rId1"/>
    <sheet name="DCF - Ex.11" sheetId="3" r:id="rId2"/>
    <sheet name="Comparables - Ex.10" sheetId="4" r:id="rId3"/>
    <sheet name="Exhibit 9" sheetId="6" r:id="rId4"/>
    <sheet name="Exhibit 12" sheetId="5" r:id="rId5"/>
  </sheets>
  <externalReferences>
    <externalReference r:id="rId6"/>
  </externalReferences>
  <definedNames>
    <definedName name="CB_Block_00000000000000000000000000000000" localSheetId="1" hidden="1">"'7.0.0.0"</definedName>
    <definedName name="CB_Block_00000000000000000000000000000000" localSheetId="0" hidden="1">"'7.0.0.0"</definedName>
    <definedName name="CB_Block_00000000000000000000000000000001" localSheetId="1" hidden="1">"'633827564088569283"</definedName>
    <definedName name="CB_Block_00000000000000000000000000000001" localSheetId="0" hidden="1">"'633827564088569283"</definedName>
    <definedName name="CB_Block_00000000000000000000000000000003" localSheetId="1" hidden="1">"'7.3.960.0"</definedName>
    <definedName name="CB_Block_00000000000000000000000000000003" localSheetId="0" hidden="1">"'7.3.960.0"</definedName>
    <definedName name="CB_BlockExt_00000000000000000000000000000003" localSheetId="1" hidden="1">"'7.3.1"</definedName>
    <definedName name="CB_BlockExt_00000000000000000000000000000003" localSheetId="0" hidden="1">"'7.3.1"</definedName>
    <definedName name="CBWorkbookPriority" hidden="1">-1629952283</definedName>
    <definedName name="CBx_Sheet_Guid" localSheetId="1" hidden="1">"'a97a0fdd-3b04-40f3-9271-0100b05bca0c"</definedName>
    <definedName name="CBx_Sheet_Guid" localSheetId="0" hidden="1">"'a97a0fdd-3b04-40f3-9271-0100b05bca0c"</definedName>
    <definedName name="CBx_SheetRef" localSheetId="1" hidden="1">[1]CB_DATA_!$C$14</definedName>
    <definedName name="CBx_SheetRef" localSheetId="0" hidden="1">[1]CB_DATA_!$C$14</definedName>
    <definedName name="CBx_StorageType" localSheetId="1" hidden="1">2</definedName>
    <definedName name="CBx_StorageType" localSheetId="0" hidden="1">2</definedName>
    <definedName name="_xlnm.Print_Area" localSheetId="0">'Wrigley Model'!$D$10:$L$45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4" l="1"/>
  <c r="G45" i="4" s="1"/>
  <c r="F45" i="4"/>
  <c r="E46" i="4"/>
  <c r="H46" i="4" s="1"/>
  <c r="F46" i="4"/>
  <c r="E47" i="4"/>
  <c r="G47" i="4" s="1"/>
  <c r="F47" i="4"/>
  <c r="E48" i="4"/>
  <c r="H48" i="4" s="1"/>
  <c r="F48" i="4"/>
  <c r="E49" i="4"/>
  <c r="H49" i="4" s="1"/>
  <c r="F49" i="4"/>
  <c r="G49" i="4"/>
  <c r="E50" i="4"/>
  <c r="G50" i="4" s="1"/>
  <c r="F50" i="4"/>
  <c r="F54" i="4"/>
  <c r="G54" i="4"/>
  <c r="H54" i="4"/>
  <c r="I54" i="4"/>
  <c r="G49" i="3"/>
  <c r="H49" i="3"/>
  <c r="I49" i="3"/>
  <c r="J49" i="3"/>
  <c r="K49" i="3"/>
  <c r="K63" i="3"/>
  <c r="K65" i="3"/>
  <c r="E73" i="3"/>
  <c r="E74" i="3"/>
  <c r="E75" i="3" s="1"/>
  <c r="E78" i="3"/>
  <c r="E80" i="3"/>
  <c r="E82" i="3"/>
  <c r="E83" i="3"/>
  <c r="E84" i="3"/>
  <c r="E85" i="3" s="1"/>
  <c r="L18" i="7" a="1"/>
  <c r="L18" i="7" s="1"/>
  <c r="L19" i="7" a="1"/>
  <c r="L19" i="7" s="1"/>
  <c r="L20" i="7" a="1"/>
  <c r="L20" i="7" s="1"/>
  <c r="L21" i="7" a="1"/>
  <c r="L21" i="7" s="1"/>
  <c r="E22" i="7"/>
  <c r="E41" i="7" s="1"/>
  <c r="F37" i="7" s="1"/>
  <c r="F22" i="7"/>
  <c r="G22" i="7"/>
  <c r="F25" i="7"/>
  <c r="G25" i="7"/>
  <c r="G27" i="7"/>
  <c r="G31" i="7"/>
  <c r="G34" i="7"/>
  <c r="G38" i="7" s="1"/>
  <c r="G51" i="7" s="1"/>
  <c r="F27" i="7"/>
  <c r="F31" i="7" s="1"/>
  <c r="F34" i="7" s="1"/>
  <c r="L29" i="7" a="1"/>
  <c r="L29" i="7" s="1"/>
  <c r="G41" i="7"/>
  <c r="L41" i="7" a="1"/>
  <c r="L41" i="7" s="1"/>
  <c r="K65" i="7"/>
  <c r="K67" i="7"/>
  <c r="K86" i="7"/>
  <c r="E99" i="7"/>
  <c r="H104" i="7"/>
  <c r="I104" i="7"/>
  <c r="J104" i="7"/>
  <c r="F41" i="7"/>
  <c r="K104" i="7"/>
  <c r="L104" i="7" s="1"/>
  <c r="G37" i="7"/>
  <c r="F52" i="4" l="1"/>
  <c r="F57" i="4" s="1"/>
  <c r="I45" i="4"/>
  <c r="G48" i="4"/>
  <c r="H45" i="4"/>
  <c r="F74" i="3"/>
  <c r="E89" i="3" s="1"/>
  <c r="F73" i="3"/>
  <c r="E88" i="3" s="1"/>
  <c r="I47" i="4"/>
  <c r="I48" i="4"/>
  <c r="I49" i="4"/>
  <c r="H47" i="4"/>
  <c r="F58" i="4"/>
  <c r="G46" i="4"/>
  <c r="G52" i="4" s="1"/>
  <c r="G57" i="4" s="1"/>
  <c r="I50" i="4"/>
  <c r="H50" i="4"/>
  <c r="I46" i="4"/>
  <c r="E52" i="4"/>
  <c r="K21" i="7"/>
  <c r="J21" i="7"/>
  <c r="I21" i="7"/>
  <c r="H21" i="7"/>
  <c r="H29" i="7"/>
  <c r="H20" i="7"/>
  <c r="K20" i="7"/>
  <c r="J20" i="7"/>
  <c r="I20" i="7"/>
  <c r="I19" i="7"/>
  <c r="H19" i="7"/>
  <c r="K19" i="7"/>
  <c r="J19" i="7"/>
  <c r="H25" i="7"/>
  <c r="H27" i="7" s="1"/>
  <c r="I18" i="7"/>
  <c r="K26" i="7"/>
  <c r="K18" i="7"/>
  <c r="J26" i="7"/>
  <c r="J18" i="7"/>
  <c r="H26" i="7"/>
  <c r="I26" i="7"/>
  <c r="K25" i="7"/>
  <c r="I25" i="7"/>
  <c r="H18" i="7"/>
  <c r="H22" i="7" s="1"/>
  <c r="J25" i="7"/>
  <c r="K29" i="7"/>
  <c r="I29" i="7"/>
  <c r="J29" i="7"/>
  <c r="I27" i="7" l="1"/>
  <c r="E90" i="3"/>
  <c r="K46" i="3" s="1"/>
  <c r="K48" i="7"/>
  <c r="I52" i="7" s="1"/>
  <c r="H52" i="4"/>
  <c r="H57" i="4" s="1"/>
  <c r="H58" i="4" s="1"/>
  <c r="I52" i="4"/>
  <c r="I57" i="4" s="1"/>
  <c r="I58" i="4" s="1"/>
  <c r="G58" i="4"/>
  <c r="K52" i="7"/>
  <c r="H52" i="7"/>
  <c r="I22" i="7"/>
  <c r="I41" i="7" s="1"/>
  <c r="H31" i="7"/>
  <c r="H34" i="7" s="1"/>
  <c r="H41" i="7"/>
  <c r="H37" i="7" s="1"/>
  <c r="K27" i="7"/>
  <c r="J22" i="7"/>
  <c r="J27" i="7"/>
  <c r="K22" i="7"/>
  <c r="I37" i="7" l="1"/>
  <c r="I31" i="7"/>
  <c r="I34" i="7" s="1"/>
  <c r="K59" i="7"/>
  <c r="J52" i="7"/>
  <c r="K56" i="3"/>
  <c r="K57" i="3"/>
  <c r="K58" i="3" s="1"/>
  <c r="G50" i="3"/>
  <c r="G51" i="3" s="1"/>
  <c r="K50" i="3"/>
  <c r="K51" i="3" s="1"/>
  <c r="I50" i="3"/>
  <c r="I51" i="3" s="1"/>
  <c r="G52" i="7"/>
  <c r="G53" i="7" s="1"/>
  <c r="J50" i="3"/>
  <c r="J51" i="3" s="1"/>
  <c r="I61" i="4"/>
  <c r="K81" i="7" s="1"/>
  <c r="H50" i="3"/>
  <c r="H51" i="3" s="1"/>
  <c r="I60" i="4"/>
  <c r="K31" i="7"/>
  <c r="K34" i="7" s="1"/>
  <c r="K41" i="7"/>
  <c r="J41" i="7"/>
  <c r="J37" i="7" s="1"/>
  <c r="J31" i="7"/>
  <c r="J34" i="7" s="1"/>
  <c r="I38" i="7"/>
  <c r="I51" i="7" s="1"/>
  <c r="I53" i="7" s="1"/>
  <c r="H38" i="7"/>
  <c r="H51" i="7" s="1"/>
  <c r="H53" i="7" s="1"/>
  <c r="J38" i="7" l="1"/>
  <c r="J51" i="7" s="1"/>
  <c r="J53" i="7" s="1"/>
  <c r="K52" i="3"/>
  <c r="K61" i="3" s="1"/>
  <c r="K64" i="3" s="1"/>
  <c r="K67" i="3" s="1"/>
  <c r="E98" i="7"/>
  <c r="K76" i="7"/>
  <c r="E97" i="7"/>
  <c r="E105" i="7" s="1"/>
  <c r="K37" i="7"/>
  <c r="K38" i="7"/>
  <c r="K51" i="7" s="1"/>
  <c r="L105" i="7" l="1"/>
  <c r="H105" i="7"/>
  <c r="J105" i="7"/>
  <c r="I105" i="7"/>
  <c r="G105" i="7"/>
  <c r="K105" i="7"/>
  <c r="E103" i="7"/>
  <c r="E102" i="7"/>
  <c r="K58" i="7"/>
  <c r="K60" i="7" s="1"/>
  <c r="K53" i="7"/>
  <c r="K54" i="7" s="1"/>
  <c r="K63" i="7" l="1"/>
  <c r="K66" i="7" s="1"/>
  <c r="K69" i="7" s="1"/>
  <c r="K73" i="7" s="1"/>
  <c r="K82" i="7" s="1"/>
  <c r="K83" i="7" s="1"/>
  <c r="J102" i="7"/>
  <c r="I102" i="7"/>
  <c r="K102" i="7"/>
  <c r="H102" i="7"/>
  <c r="L102" i="7"/>
  <c r="G102" i="7"/>
  <c r="G103" i="7"/>
  <c r="K103" i="7"/>
  <c r="H103" i="7"/>
  <c r="J103" i="7"/>
  <c r="L103" i="7"/>
  <c r="I103" i="7"/>
  <c r="K87" i="7"/>
  <c r="K88" i="7" s="1"/>
  <c r="K77" i="7"/>
  <c r="K78" i="7" s="1"/>
</calcChain>
</file>

<file path=xl/sharedStrings.xml><?xml version="1.0" encoding="utf-8"?>
<sst xmlns="http://schemas.openxmlformats.org/spreadsheetml/2006/main" count="289" uniqueCount="192">
  <si>
    <t>WM. WRIGLEY JR. COMPANY</t>
  </si>
  <si>
    <t>Financial Forecast for Wrigley, Synergy Calculation</t>
  </si>
  <si>
    <t>(in millions of dollars)</t>
  </si>
  <si>
    <t>Base Case</t>
  </si>
  <si>
    <t>Click left for different scenarios</t>
  </si>
  <si>
    <t>Financial Forecast &amp; Free Cash Flow Calculation</t>
  </si>
  <si>
    <t>Synergies Assumptions &amp; Case Scenarios</t>
  </si>
  <si>
    <t>2008F</t>
  </si>
  <si>
    <t>2009F</t>
  </si>
  <si>
    <t>2010F</t>
  </si>
  <si>
    <t>2011F</t>
  </si>
  <si>
    <t>2012F</t>
  </si>
  <si>
    <t>Synergies</t>
  </si>
  <si>
    <t>Worst Case</t>
  </si>
  <si>
    <t>Best Case</t>
  </si>
  <si>
    <t>Sugar prices (dollar/ton)</t>
  </si>
  <si>
    <t>Sugar (in millions of tons)</t>
  </si>
  <si>
    <t>Income Statement Data</t>
  </si>
  <si>
    <t>Revenues by regions</t>
  </si>
  <si>
    <t>North America</t>
  </si>
  <si>
    <t>EMEAI</t>
  </si>
  <si>
    <t>Asia</t>
  </si>
  <si>
    <t>All other</t>
  </si>
  <si>
    <t>Revenues</t>
  </si>
  <si>
    <t>COGS</t>
  </si>
  <si>
    <t>Sugar</t>
  </si>
  <si>
    <t>Other</t>
  </si>
  <si>
    <t>Total COGS</t>
  </si>
  <si>
    <t>SG&amp;A</t>
  </si>
  <si>
    <t>Operating income</t>
  </si>
  <si>
    <t>Free Cash Flow Calculation</t>
  </si>
  <si>
    <t>NOPAT</t>
  </si>
  <si>
    <t>Depreciation</t>
  </si>
  <si>
    <t>Cap X</t>
  </si>
  <si>
    <t>Changes in NWC</t>
  </si>
  <si>
    <t>FCF</t>
  </si>
  <si>
    <t>NWC</t>
  </si>
  <si>
    <t>NWC as percentage of sales</t>
  </si>
  <si>
    <t>Tax rate</t>
  </si>
  <si>
    <t xml:space="preserve">Discounted Cash Flow Analysis </t>
  </si>
  <si>
    <t>WACC</t>
  </si>
  <si>
    <t>Projected Period</t>
  </si>
  <si>
    <t>Discount factor</t>
  </si>
  <si>
    <t>Discounted FCF</t>
  </si>
  <si>
    <t>Present value (PP)</t>
  </si>
  <si>
    <t>Terminal Value</t>
  </si>
  <si>
    <t>Growth rate</t>
  </si>
  <si>
    <t>TV</t>
  </si>
  <si>
    <t>Present value (TV)</t>
  </si>
  <si>
    <t>Enterprise Value &amp; Share Price</t>
  </si>
  <si>
    <t>Enterprise value</t>
  </si>
  <si>
    <t>Debt</t>
  </si>
  <si>
    <t>Equity value</t>
  </si>
  <si>
    <t>Shares outstanding</t>
  </si>
  <si>
    <t>Share price</t>
  </si>
  <si>
    <t>Premium Estimates</t>
  </si>
  <si>
    <t>Case Scenario share price</t>
  </si>
  <si>
    <t>Premium based on DCF</t>
  </si>
  <si>
    <t>Intrinsic share price</t>
  </si>
  <si>
    <t>Dollar premium</t>
  </si>
  <si>
    <t>Percent of value</t>
  </si>
  <si>
    <t>Premium based on Comparable valuation</t>
  </si>
  <si>
    <t>Premium based on Current share price</t>
  </si>
  <si>
    <t>Current share price</t>
  </si>
  <si>
    <t>Pricing Model</t>
  </si>
  <si>
    <t>Valuation Methods</t>
  </si>
  <si>
    <t>Share Price</t>
  </si>
  <si>
    <t>Weights</t>
  </si>
  <si>
    <t>Price with Synergies</t>
  </si>
  <si>
    <t>Worst</t>
  </si>
  <si>
    <t>Base</t>
  </si>
  <si>
    <t>Best</t>
  </si>
  <si>
    <t>Discounted Cash Flow (DCF)</t>
  </si>
  <si>
    <t xml:space="preserve">Comparables </t>
  </si>
  <si>
    <t>Current</t>
  </si>
  <si>
    <t>Premium over current share price</t>
  </si>
  <si>
    <t>Premium over instrisic price</t>
  </si>
  <si>
    <t>Premium over base price</t>
  </si>
  <si>
    <t>Base Price</t>
  </si>
  <si>
    <t>Walkaway Price</t>
  </si>
  <si>
    <t>Target   Price</t>
  </si>
  <si>
    <t>Exhibit 11</t>
  </si>
  <si>
    <t>Financial Forecast for Wrigley, Stand-Alone Valuation</t>
  </si>
  <si>
    <t>CapEx</t>
  </si>
  <si>
    <t>Net PPE</t>
  </si>
  <si>
    <t>Net PPE as percentage of sales</t>
  </si>
  <si>
    <t>WACC Calculation</t>
  </si>
  <si>
    <t>Wrigley Capital Structure (As of end of 2007)</t>
  </si>
  <si>
    <t>(as % of total value)</t>
  </si>
  <si>
    <t>Market cap</t>
  </si>
  <si>
    <t>Cost of Debt (Kd)</t>
  </si>
  <si>
    <t>Pre-tax Kd</t>
  </si>
  <si>
    <t>After-tax Kd</t>
  </si>
  <si>
    <t>Cost of Equity (Ke)</t>
  </si>
  <si>
    <t>Risk free rate</t>
  </si>
  <si>
    <t>Market risk remium</t>
  </si>
  <si>
    <t>Beta</t>
  </si>
  <si>
    <t>CAPM Ke</t>
  </si>
  <si>
    <t>Weighted Average cost of Capital (WACC)</t>
  </si>
  <si>
    <t>Weighted Kd (after-tax)</t>
  </si>
  <si>
    <t>Weighted Ke</t>
  </si>
  <si>
    <t>Exhibit 10</t>
  </si>
  <si>
    <t>Confectionery Industry at the Beginning of 2008</t>
  </si>
  <si>
    <t>Confectionary Industry Data</t>
  </si>
  <si>
    <t>Operating
Margin</t>
  </si>
  <si>
    <t>Net Income</t>
  </si>
  <si>
    <t>EBIT</t>
  </si>
  <si>
    <t>LT Debt</t>
  </si>
  <si>
    <t>Current Assets</t>
  </si>
  <si>
    <t>Current Liabilities</t>
  </si>
  <si>
    <t>Employees</t>
  </si>
  <si>
    <t>Cadbury plc</t>
  </si>
  <si>
    <t>Kraft Foods Inc.</t>
  </si>
  <si>
    <t>Lance, Inc.</t>
  </si>
  <si>
    <t>The Hershey Company</t>
  </si>
  <si>
    <t>Tootsie Roll Industries, Inc.</t>
  </si>
  <si>
    <t>Wm. Wrigley Jr. Company</t>
  </si>
  <si>
    <t>General Mills, Inc.</t>
  </si>
  <si>
    <t>Mars, Incorporated</t>
  </si>
  <si>
    <t>n/a</t>
  </si>
  <si>
    <t>Market Cap</t>
  </si>
  <si>
    <t>Shares</t>
  </si>
  <si>
    <t>Stock
Price</t>
  </si>
  <si>
    <t>PE Ratio</t>
  </si>
  <si>
    <t>Bond
Rating</t>
  </si>
  <si>
    <t>Dividend
Yield</t>
  </si>
  <si>
    <t>Tax Rate</t>
  </si>
  <si>
    <t>Aa</t>
  </si>
  <si>
    <t>Aaa</t>
  </si>
  <si>
    <t>A</t>
  </si>
  <si>
    <t>Data sources: Value Line Investment Survey, February 1, 2008, and case writer estimates.</t>
  </si>
  <si>
    <t>Company Info</t>
  </si>
  <si>
    <r>
      <t>Cadbury plc</t>
    </r>
    <r>
      <rPr>
        <sz val="11"/>
        <color indexed="8"/>
        <rFont val="Times New Roman"/>
        <family val="1"/>
        <charset val="204"/>
      </rPr>
      <t xml:space="preserve"> was in the global confectionery business. It offered chocolate, mints, gum, and other candy under a variety of brand names (Cadbury Crème Egg, Dentyne, Éclairs, Green &amp; Blacks, Halls, the Natural Confectionery Company, and Trident, to name a few). Based in Uxbridge, the United Kingdom, Cadbury was founded in 1783.</t>
    </r>
  </si>
  <si>
    <r>
      <rPr>
        <b/>
        <sz val="11"/>
        <color indexed="8"/>
        <rFont val="Times New Roman"/>
        <family val="1"/>
      </rPr>
      <t>Kraft Foods Inc.</t>
    </r>
    <r>
      <rPr>
        <sz val="11"/>
        <color indexed="8"/>
        <rFont val="Times New Roman"/>
        <family val="1"/>
      </rPr>
      <t xml:space="preserve"> manufactured and marketed packaged-food and grocery products worldwide. The company made snacks, including cookies, crackers, and chocolate confectionary; beverages; cheese; and other grocery products. It also offered convenient meals, packaged dinners, lunch combinations, and processed meats. Kraft marketed its products under various brand names, including Nabisco cookies and crackers; Kraft cheeses; Oscar Mayer meats; Philadelphia cream cheese; Maxwell House coffee; its Oreo cookie brand; Milka chocolates; and LU biscuits.</t>
    </r>
  </si>
  <si>
    <r>
      <rPr>
        <b/>
        <sz val="11"/>
        <color indexed="8"/>
        <rFont val="Times New Roman"/>
        <family val="1"/>
      </rPr>
      <t>Lance, Inc.</t>
    </r>
    <r>
      <rPr>
        <sz val="11"/>
        <color indexed="8"/>
        <rFont val="Times New Roman"/>
        <family val="1"/>
      </rPr>
      <t>, based in North California, engaged in the manufacture, marketing, and distribution of various snack food products. It offered sandwich crackers and cookies, potato chips, crackers, cookies, other salty snacks, restaurant-style crackers, and candy. The company also provided private-brand products to grocery- and mass merchandisers and discount stores using store brands or Lance brands.</t>
    </r>
  </si>
  <si>
    <r>
      <rPr>
        <b/>
        <sz val="11"/>
        <color indexed="8"/>
        <rFont val="Times New Roman"/>
        <family val="1"/>
      </rPr>
      <t>The Hershey Company</t>
    </r>
    <r>
      <rPr>
        <sz val="11"/>
        <color indexed="8"/>
        <rFont val="Times New Roman"/>
        <family val="1"/>
        <charset val="204"/>
      </rPr>
      <t xml:space="preserve"> engaged in the manufacturing, marketing, selling, and distributing of various chocolate and confectionery products, food and beverage enhancers, and gums and mints. Its chocolate and confectionery products included chocolate bars and cocoa mixes, handcrafted chocolate gifts, and natural and organic chocolate products. The company’s snack foods included snack mix, cookies, granola bars, and a variety of cookies.</t>
    </r>
  </si>
  <si>
    <r>
      <rPr>
        <b/>
        <sz val="11"/>
        <color indexed="8"/>
        <rFont val="Times New Roman"/>
        <family val="1"/>
      </rPr>
      <t>Tootsie Roll Industries, Inc.</t>
    </r>
    <r>
      <rPr>
        <sz val="11"/>
        <color indexed="8"/>
        <rFont val="Times New Roman"/>
        <family val="1"/>
        <charset val="204"/>
      </rPr>
      <t>, produced candy, caramel, and sugar-based confectionery under various trademarks, including Tootsie Roll, Tootsie Roll Pops, Charms, Blow-Pop, Blue Razz, Junior Mint, Charleston Chew, Sugar Daddy, Sugar Babies, Andes, Cry Baby, and Nik-L-Nip.</t>
    </r>
  </si>
  <si>
    <r>
      <rPr>
        <b/>
        <sz val="11"/>
        <color indexed="8"/>
        <rFont val="Times New Roman"/>
        <family val="1"/>
      </rPr>
      <t>General Mills, Inc.</t>
    </r>
    <r>
      <rPr>
        <sz val="11"/>
        <color indexed="8"/>
        <rFont val="Times New Roman"/>
        <family val="1"/>
        <charset val="204"/>
      </rPr>
      <t>, engaged globally in the manufacture and marketing of branded consumer foods. The company also supplied branded and unbranded food products to the food service and commercial-baking industries. Its product line was composed of cereals, yogurt, soup, dry dinners, shelf-stable and frozen vegetables, refrigerated and frozen dough products, dessert and baking mixes, frozen pizza, grains, fruit and savory snacks, and ice cream and other frozen desserts, as well as various organic products, including granola bars and cereal.</t>
    </r>
  </si>
  <si>
    <t>Source: Yahoo! Finance, December 2009, and company Web sites.</t>
  </si>
  <si>
    <t>Comparable Analysis &amp; Relevant Ratios</t>
  </si>
  <si>
    <t>Relevant Ratios</t>
  </si>
  <si>
    <t>Enterprise Value</t>
  </si>
  <si>
    <t>PE</t>
  </si>
  <si>
    <t>Revenue</t>
  </si>
  <si>
    <t>Industry Average</t>
  </si>
  <si>
    <t>Wrigley</t>
  </si>
  <si>
    <t>Comparable Analysis</t>
  </si>
  <si>
    <t>Enterprise value(s)</t>
  </si>
  <si>
    <t>Standalone Value for Wrigley</t>
  </si>
  <si>
    <t>(Comp based)</t>
  </si>
  <si>
    <t>Exhibit 9</t>
  </si>
  <si>
    <t>Wrigley Selected Financial Data</t>
  </si>
  <si>
    <t>(all numbers, except per share numbers, in millions of dollars)</t>
  </si>
  <si>
    <t>Operating Data</t>
  </si>
  <si>
    <t>Gross profit</t>
  </si>
  <si>
    <t>Income taxes</t>
  </si>
  <si>
    <t>Net earnings</t>
  </si>
  <si>
    <t>Per share of common stock (diluted)</t>
  </si>
  <si>
    <t>Dividends paid</t>
  </si>
  <si>
    <t>Per share of common stock</t>
  </si>
  <si>
    <t>As a percentage of net earnings</t>
  </si>
  <si>
    <t>Average shares outstanding</t>
  </si>
  <si>
    <t>Other Financial Data</t>
  </si>
  <si>
    <t>Net property, plant and equipment</t>
  </si>
  <si>
    <t>Total assets</t>
  </si>
  <si>
    <t>Working capital</t>
  </si>
  <si>
    <t>Stockholders’ equity</t>
  </si>
  <si>
    <t>Return on average equity</t>
  </si>
  <si>
    <t>Stockholders of record at close of year</t>
  </si>
  <si>
    <t>Employees at close of year</t>
  </si>
  <si>
    <t>Sales per employee</t>
  </si>
  <si>
    <t>Data sources: Wm. Wrigley Jr. Company annual report, 2007, and case writer estimates.</t>
  </si>
  <si>
    <t>Exhibit 12</t>
  </si>
  <si>
    <t>Bonds Market Interest Rates, April 2008</t>
  </si>
  <si>
    <t>Corporate bonds</t>
  </si>
  <si>
    <t>Baa</t>
  </si>
  <si>
    <t>Data source: Mergent Bond Record, April 2008.</t>
  </si>
  <si>
    <t>Treasury bills</t>
  </si>
  <si>
    <t>1-month</t>
  </si>
  <si>
    <t>3-month</t>
  </si>
  <si>
    <t>6-month</t>
  </si>
  <si>
    <t>1-year</t>
  </si>
  <si>
    <t>2-year</t>
  </si>
  <si>
    <t>3-year</t>
  </si>
  <si>
    <t>5-year</t>
  </si>
  <si>
    <t>7-year</t>
  </si>
  <si>
    <t>10-year</t>
  </si>
  <si>
    <t>20-year</t>
  </si>
  <si>
    <t>30-year</t>
  </si>
  <si>
    <t>Data source: U.S. Treasury.</t>
  </si>
  <si>
    <t>Market Risk Premium</t>
  </si>
  <si>
    <t>Source: Case writer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</si>
</sst>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_-* #,##0.00_р_._-;\-* #,##0.00_р_._-;_-* &quot;-&quot;??_р_._-;_-@_-"/>
    <numFmt numFmtId="165" formatCode="_-* #,##0.00&quot;р.&quot;_-;\-* #,##0.00&quot;р.&quot;_-;_-* &quot;-&quot;??&quot;р.&quot;_-;_-@_-"/>
    <numFmt numFmtId="166" formatCode="0.0000"/>
    <numFmt numFmtId="167" formatCode="0.0"/>
    <numFmt numFmtId="168" formatCode="0.0%"/>
    <numFmt numFmtId="169" formatCode="_(* #,##0.0_);_(* \(#,##0.0\);_(* &quot;-&quot;??_);_(@_)"/>
    <numFmt numFmtId="170" formatCode="_(* #,##0_);_(* \(#,##0\);_(* &quot;-&quot;??_);_(@_)"/>
    <numFmt numFmtId="171" formatCode="_(&quot;$&quot;* #,##0.0_);_(&quot;$&quot;* \(#,##0.0\);_(&quot;$&quot;* &quot;-&quot;??_);_(@_)"/>
    <numFmt numFmtId="172" formatCode="_(&quot;$&quot;* #,##0_);_(&quot;$&quot;* \(#,##0\);_(&quot;$&quot;* &quot;-&quot;??_);_(@_)"/>
    <numFmt numFmtId="173" formatCode="0.00\x"/>
  </numFmts>
  <fonts count="31" x14ac:knownFonts="1">
    <font>
      <sz val="12"/>
      <color theme="1"/>
      <name val="Calibri"/>
      <family val="2"/>
      <scheme val="minor"/>
    </font>
    <font>
      <sz val="12"/>
      <name val="Times New Roman"/>
      <family val="1"/>
      <charset val="204"/>
    </font>
    <font>
      <sz val="12"/>
      <name val="Times New Roman"/>
      <family val="1"/>
    </font>
    <font>
      <sz val="11"/>
      <color indexed="8"/>
      <name val="Times New Roman"/>
      <family val="1"/>
      <charset val="204"/>
    </font>
    <font>
      <b/>
      <sz val="11"/>
      <color indexed="8"/>
      <name val="Times New Roman"/>
      <family val="1"/>
    </font>
    <font>
      <sz val="11"/>
      <color indexed="8"/>
      <name val="Times New Roman"/>
      <family val="1"/>
    </font>
    <font>
      <sz val="10"/>
      <name val="Times New Roman"/>
      <family val="1"/>
    </font>
    <font>
      <sz val="10"/>
      <name val="Arial"/>
      <family val="2"/>
    </font>
    <font>
      <b/>
      <sz val="14"/>
      <name val="Times New Roman"/>
      <family val="1"/>
    </font>
    <font>
      <sz val="12"/>
      <color theme="1"/>
      <name val="Calibri"/>
      <family val="2"/>
      <scheme val="minor"/>
    </font>
    <font>
      <sz val="11"/>
      <color theme="1"/>
      <name val="Calibri"/>
      <family val="2"/>
      <scheme val="minor"/>
    </font>
    <font>
      <sz val="10"/>
      <color theme="1"/>
      <name val="Arial"/>
      <family val="2"/>
    </font>
    <font>
      <b/>
      <sz val="14"/>
      <color theme="1"/>
      <name val="Times New Roman"/>
      <family val="1"/>
      <charset val="204"/>
    </font>
    <font>
      <sz val="12"/>
      <color theme="1"/>
      <name val="Times New Roman"/>
      <family val="1"/>
      <charset val="204"/>
    </font>
    <font>
      <b/>
      <sz val="12"/>
      <color theme="1"/>
      <name val="Times New Roman"/>
      <family val="1"/>
      <charset val="204"/>
    </font>
    <font>
      <i/>
      <sz val="12"/>
      <color theme="0" tint="-0.499984740745262"/>
      <name val="Times New Roman"/>
      <family val="1"/>
      <charset val="204"/>
    </font>
    <font>
      <sz val="12"/>
      <color rgb="FF000000"/>
      <name val="Times New Roman"/>
      <family val="1"/>
    </font>
    <font>
      <sz val="12"/>
      <color theme="1"/>
      <name val="Times New Roman"/>
      <family val="1"/>
    </font>
    <font>
      <sz val="10"/>
      <color theme="1"/>
      <name val="Times New Roman"/>
      <family val="1"/>
    </font>
    <font>
      <b/>
      <sz val="14"/>
      <color theme="1"/>
      <name val="Times New Roman"/>
      <family val="1"/>
    </font>
    <font>
      <i/>
      <sz val="12"/>
      <color theme="1"/>
      <name val="Times New Roman"/>
      <family val="1"/>
    </font>
    <font>
      <b/>
      <sz val="12"/>
      <color theme="1"/>
      <name val="Times New Roman"/>
      <family val="1"/>
    </font>
    <font>
      <sz val="12"/>
      <color theme="0"/>
      <name val="Times New Roman"/>
      <family val="1"/>
      <charset val="204"/>
    </font>
    <font>
      <i/>
      <sz val="12"/>
      <color rgb="FF000000"/>
      <name val="Times New Roman"/>
      <family val="1"/>
    </font>
    <font>
      <b/>
      <i/>
      <sz val="12"/>
      <color theme="1"/>
      <name val="Times New Roman"/>
      <family val="1"/>
    </font>
    <font>
      <i/>
      <sz val="9"/>
      <color theme="1"/>
      <name val="Times New Roman"/>
      <family val="1"/>
    </font>
    <font>
      <b/>
      <sz val="16"/>
      <color theme="1"/>
      <name val="Times New Roman"/>
      <family val="1"/>
    </font>
    <font>
      <u/>
      <sz val="12"/>
      <color theme="1"/>
      <name val="Times New Roman"/>
      <family val="1"/>
    </font>
    <font>
      <b/>
      <sz val="11"/>
      <color theme="1"/>
      <name val="Times New Roman"/>
      <family val="1"/>
    </font>
    <font>
      <b/>
      <sz val="11"/>
      <color theme="1"/>
      <name val="Times New Roman"/>
      <family val="1"/>
      <charset val="204"/>
    </font>
    <font>
      <sz val="11"/>
      <color theme="1"/>
      <name val="Times New Roman"/>
      <family val="1"/>
    </font>
  </fonts>
  <fills count="10">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s>
  <borders count="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9">
    <xf numFmtId="0" fontId="0" fillId="0" borderId="0"/>
    <xf numFmtId="43" fontId="9" fillId="0" borderId="0" applyFon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165" fontId="9" fillId="0" borderId="0" applyFont="0" applyFill="0" applyBorder="0" applyAlignment="0" applyProtection="0"/>
    <xf numFmtId="0" fontId="10" fillId="0" borderId="0"/>
    <xf numFmtId="0" fontId="7" fillId="0" borderId="0"/>
    <xf numFmtId="0" fontId="11" fillId="0" borderId="0"/>
    <xf numFmtId="9" fontId="9" fillId="0" borderId="0" applyFont="0" applyFill="0" applyBorder="0" applyAlignment="0" applyProtection="0"/>
  </cellStyleXfs>
  <cellXfs count="153">
    <xf numFmtId="0" fontId="0" fillId="0" borderId="0" xfId="0"/>
    <xf numFmtId="0" fontId="12" fillId="0" borderId="0" xfId="0" applyFont="1"/>
    <xf numFmtId="0" fontId="13" fillId="0" borderId="0" xfId="0" applyFont="1"/>
    <xf numFmtId="0" fontId="12" fillId="0" borderId="0" xfId="0" applyFont="1" applyAlignment="1">
      <alignment horizontal="center"/>
    </xf>
    <xf numFmtId="0" fontId="14" fillId="0" borderId="0" xfId="0" applyFont="1"/>
    <xf numFmtId="0" fontId="14" fillId="0" borderId="0" xfId="0" applyFont="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170" fontId="13" fillId="0" borderId="0" xfId="1" applyNumberFormat="1" applyFont="1"/>
    <xf numFmtId="168" fontId="13" fillId="0" borderId="0" xfId="8" applyNumberFormat="1" applyFont="1"/>
    <xf numFmtId="43" fontId="13" fillId="0" borderId="0" xfId="1" applyFont="1"/>
    <xf numFmtId="0" fontId="13" fillId="0" borderId="0" xfId="0" applyFont="1" applyAlignment="1">
      <alignment horizontal="center"/>
    </xf>
    <xf numFmtId="169" fontId="13" fillId="0" borderId="0" xfId="1" applyNumberFormat="1" applyFont="1"/>
    <xf numFmtId="0" fontId="1" fillId="0" borderId="0" xfId="0" applyFont="1"/>
    <xf numFmtId="0" fontId="14" fillId="0" borderId="1" xfId="0" applyFont="1" applyBorder="1" applyAlignment="1">
      <alignment horizontal="center"/>
    </xf>
    <xf numFmtId="9" fontId="13" fillId="0" borderId="0" xfId="8" applyFont="1"/>
    <xf numFmtId="166" fontId="13" fillId="0" borderId="0" xfId="2" applyNumberFormat="1" applyFont="1" applyAlignment="1">
      <alignment horizontal="right"/>
    </xf>
    <xf numFmtId="9" fontId="13" fillId="0" borderId="0" xfId="8" applyFont="1" applyAlignment="1">
      <alignment horizontal="right"/>
    </xf>
    <xf numFmtId="168" fontId="13" fillId="0" borderId="0" xfId="8" applyNumberFormat="1" applyFont="1" applyAlignment="1">
      <alignment horizontal="right"/>
    </xf>
    <xf numFmtId="168" fontId="15" fillId="0" borderId="0" xfId="8" applyNumberFormat="1" applyFont="1" applyAlignment="1">
      <alignment horizontal="right"/>
    </xf>
    <xf numFmtId="167" fontId="13" fillId="0" borderId="0" xfId="2" applyNumberFormat="1" applyFont="1" applyBorder="1" applyAlignment="1">
      <alignment horizontal="right"/>
    </xf>
    <xf numFmtId="0" fontId="13" fillId="0" borderId="0" xfId="0" applyFont="1" applyAlignment="1">
      <alignment horizontal="left" indent="1"/>
    </xf>
    <xf numFmtId="2" fontId="13" fillId="0" borderId="0" xfId="2" applyNumberFormat="1" applyFont="1" applyBorder="1" applyAlignment="1">
      <alignment horizontal="right"/>
    </xf>
    <xf numFmtId="2" fontId="13" fillId="0" borderId="1" xfId="2" applyNumberFormat="1" applyFont="1" applyBorder="1" applyAlignment="1">
      <alignment horizontal="right"/>
    </xf>
    <xf numFmtId="2" fontId="13" fillId="0" borderId="0" xfId="2" applyNumberFormat="1" applyFont="1" applyAlignment="1">
      <alignment horizontal="right"/>
    </xf>
    <xf numFmtId="0" fontId="13" fillId="0" borderId="0" xfId="0" applyFont="1" applyAlignment="1">
      <alignment horizontal="left"/>
    </xf>
    <xf numFmtId="165" fontId="14" fillId="0" borderId="0" xfId="0" applyNumberFormat="1" applyFont="1" applyAlignment="1">
      <alignment horizontal="center"/>
    </xf>
    <xf numFmtId="165" fontId="13" fillId="0" borderId="0" xfId="4" applyFont="1" applyBorder="1"/>
    <xf numFmtId="165" fontId="14" fillId="0" borderId="0" xfId="4" applyFont="1" applyBorder="1"/>
    <xf numFmtId="9" fontId="13" fillId="0" borderId="0" xfId="0" applyNumberFormat="1" applyFont="1"/>
    <xf numFmtId="10" fontId="13" fillId="0" borderId="0" xfId="8" applyNumberFormat="1" applyFont="1"/>
    <xf numFmtId="1" fontId="13" fillId="0" borderId="0" xfId="2" applyNumberFormat="1" applyFont="1" applyAlignment="1">
      <alignment horizontal="right"/>
    </xf>
    <xf numFmtId="1" fontId="2" fillId="0" borderId="0" xfId="2" applyNumberFormat="1" applyFont="1" applyAlignment="1">
      <alignment horizontal="right"/>
    </xf>
    <xf numFmtId="0" fontId="14" fillId="0" borderId="0" xfId="0" applyFont="1" applyAlignment="1">
      <alignment horizontal="center"/>
    </xf>
    <xf numFmtId="0" fontId="16" fillId="0" borderId="0" xfId="0" applyFont="1"/>
    <xf numFmtId="0" fontId="17" fillId="0" borderId="0" xfId="0" applyFont="1"/>
    <xf numFmtId="170" fontId="13" fillId="0" borderId="0" xfId="1" applyNumberFormat="1" applyFont="1" applyAlignment="1">
      <alignment horizontal="right" readingOrder="1"/>
    </xf>
    <xf numFmtId="168" fontId="13" fillId="0" borderId="0" xfId="8" applyNumberFormat="1" applyFont="1" applyAlignment="1">
      <alignment horizontal="right" readingOrder="1"/>
    </xf>
    <xf numFmtId="43" fontId="13" fillId="0" borderId="0" xfId="1" applyFont="1" applyAlignment="1">
      <alignment horizontal="right" readingOrder="1"/>
    </xf>
    <xf numFmtId="170" fontId="13" fillId="0" borderId="0" xfId="1" applyNumberFormat="1" applyFont="1" applyFill="1" applyAlignment="1">
      <alignment horizontal="right" readingOrder="1"/>
    </xf>
    <xf numFmtId="0" fontId="13" fillId="0" borderId="0" xfId="0" applyFont="1" applyAlignment="1">
      <alignment horizontal="right" readingOrder="1"/>
    </xf>
    <xf numFmtId="0" fontId="14" fillId="0" borderId="0" xfId="0" applyFont="1" applyAlignment="1">
      <alignment horizontal="right"/>
    </xf>
    <xf numFmtId="4" fontId="13" fillId="0" borderId="0" xfId="0" applyNumberFormat="1" applyFont="1" applyAlignment="1">
      <alignment horizontal="right"/>
    </xf>
    <xf numFmtId="3" fontId="13" fillId="0" borderId="0" xfId="0" applyNumberFormat="1" applyFont="1" applyAlignment="1">
      <alignment horizontal="right"/>
    </xf>
    <xf numFmtId="0" fontId="13" fillId="0" borderId="0" xfId="0" applyFont="1" applyAlignment="1">
      <alignment horizontal="right"/>
    </xf>
    <xf numFmtId="0" fontId="16" fillId="0" borderId="0" xfId="0" applyFont="1" applyAlignment="1">
      <alignment horizontal="left" indent="1"/>
    </xf>
    <xf numFmtId="0" fontId="18" fillId="0" borderId="0" xfId="0" applyFont="1"/>
    <xf numFmtId="0" fontId="17" fillId="0" borderId="0" xfId="0" applyFont="1" applyAlignment="1">
      <alignment horizontal="left"/>
    </xf>
    <xf numFmtId="0" fontId="14" fillId="0" borderId="1" xfId="0" applyFont="1" applyBorder="1" applyAlignment="1">
      <alignment horizontal="right"/>
    </xf>
    <xf numFmtId="170" fontId="13" fillId="0" borderId="0" xfId="1" applyNumberFormat="1" applyFont="1" applyBorder="1" applyAlignment="1">
      <alignment horizontal="right"/>
    </xf>
    <xf numFmtId="170" fontId="13" fillId="0" borderId="1" xfId="1" applyNumberFormat="1" applyFont="1" applyBorder="1" applyAlignment="1">
      <alignment horizontal="right"/>
    </xf>
    <xf numFmtId="170" fontId="13" fillId="0" borderId="0" xfId="1" applyNumberFormat="1" applyFont="1" applyAlignment="1">
      <alignment horizontal="right"/>
    </xf>
    <xf numFmtId="0" fontId="19" fillId="0" borderId="0" xfId="0" applyFont="1"/>
    <xf numFmtId="0" fontId="17" fillId="0" borderId="0" xfId="0" applyFont="1" applyAlignment="1">
      <alignment horizontal="center"/>
    </xf>
    <xf numFmtId="0" fontId="6" fillId="0" borderId="0" xfId="0" applyFont="1" applyAlignment="1">
      <alignment horizontal="left" vertical="top"/>
    </xf>
    <xf numFmtId="0" fontId="13" fillId="2" borderId="0" xfId="0" applyFont="1" applyFill="1"/>
    <xf numFmtId="10" fontId="13" fillId="0" borderId="0" xfId="0" applyNumberFormat="1" applyFont="1"/>
    <xf numFmtId="4" fontId="13" fillId="0" borderId="0" xfId="0" applyNumberFormat="1" applyFont="1"/>
    <xf numFmtId="3" fontId="13" fillId="0" borderId="0" xfId="0" applyNumberFormat="1" applyFont="1"/>
    <xf numFmtId="2" fontId="13" fillId="0" borderId="0" xfId="0" applyNumberFormat="1" applyFont="1"/>
    <xf numFmtId="9" fontId="13" fillId="0" borderId="0" xfId="8" applyFont="1" applyAlignment="1">
      <alignment horizontal="center"/>
    </xf>
    <xf numFmtId="43" fontId="13" fillId="0" borderId="0" xfId="0" applyNumberFormat="1" applyFont="1"/>
    <xf numFmtId="0" fontId="20" fillId="0" borderId="0" xfId="0" applyFont="1"/>
    <xf numFmtId="0" fontId="13" fillId="0" borderId="1" xfId="0" applyFont="1" applyBorder="1"/>
    <xf numFmtId="0" fontId="13" fillId="3" borderId="0" xfId="0" applyFont="1" applyFill="1"/>
    <xf numFmtId="0" fontId="14" fillId="3" borderId="0" xfId="0" applyFont="1" applyFill="1" applyAlignment="1">
      <alignment horizontal="right"/>
    </xf>
    <xf numFmtId="0" fontId="19" fillId="3" borderId="0" xfId="0" applyFont="1" applyFill="1"/>
    <xf numFmtId="0" fontId="20" fillId="0" borderId="1" xfId="0" applyFont="1" applyBorder="1"/>
    <xf numFmtId="0" fontId="17" fillId="0" borderId="1" xfId="0" applyFont="1" applyBorder="1"/>
    <xf numFmtId="172" fontId="21" fillId="4" borderId="0" xfId="3" applyNumberFormat="1" applyFont="1" applyFill="1"/>
    <xf numFmtId="10" fontId="21" fillId="4" borderId="0" xfId="0" applyNumberFormat="1" applyFont="1" applyFill="1"/>
    <xf numFmtId="0" fontId="22" fillId="0" borderId="0" xfId="0" applyFont="1"/>
    <xf numFmtId="0" fontId="1" fillId="3" borderId="0" xfId="0" applyFont="1" applyFill="1"/>
    <xf numFmtId="0" fontId="8" fillId="3" borderId="0" xfId="0" applyFont="1" applyFill="1" applyAlignment="1">
      <alignment horizontal="left" vertical="top"/>
    </xf>
    <xf numFmtId="0" fontId="6" fillId="3" borderId="0" xfId="0" applyFont="1" applyFill="1" applyAlignment="1">
      <alignment horizontal="left" vertical="top"/>
    </xf>
    <xf numFmtId="0" fontId="23" fillId="0" borderId="0" xfId="0" applyFont="1"/>
    <xf numFmtId="170" fontId="13" fillId="0" borderId="0" xfId="0" applyNumberFormat="1" applyFont="1"/>
    <xf numFmtId="169" fontId="13" fillId="0" borderId="0" xfId="0" applyNumberFormat="1" applyFont="1"/>
    <xf numFmtId="173" fontId="13" fillId="0" borderId="0" xfId="0" applyNumberFormat="1" applyFont="1"/>
    <xf numFmtId="171" fontId="13" fillId="0" borderId="0" xfId="3" applyNumberFormat="1" applyFont="1"/>
    <xf numFmtId="43" fontId="21" fillId="4" borderId="0" xfId="0" applyNumberFormat="1" applyFont="1" applyFill="1"/>
    <xf numFmtId="170" fontId="13" fillId="0" borderId="2" xfId="0" applyNumberFormat="1" applyFont="1" applyBorder="1"/>
    <xf numFmtId="43" fontId="13" fillId="0" borderId="3" xfId="0" applyNumberFormat="1" applyFont="1" applyBorder="1"/>
    <xf numFmtId="173" fontId="13" fillId="0" borderId="3" xfId="0" applyNumberFormat="1" applyFont="1" applyBorder="1"/>
    <xf numFmtId="173" fontId="13" fillId="0" borderId="4" xfId="0" applyNumberFormat="1" applyFont="1" applyBorder="1"/>
    <xf numFmtId="0" fontId="21" fillId="0" borderId="1" xfId="0" applyFont="1" applyBorder="1" applyAlignment="1">
      <alignment horizontal="center" vertical="center" wrapText="1"/>
    </xf>
    <xf numFmtId="170" fontId="20" fillId="0" borderId="0" xfId="0" applyNumberFormat="1" applyFont="1"/>
    <xf numFmtId="43" fontId="20" fillId="0" borderId="0" xfId="0" applyNumberFormat="1" applyFont="1"/>
    <xf numFmtId="43" fontId="13" fillId="0" borderId="5" xfId="0" applyNumberFormat="1" applyFont="1" applyBorder="1"/>
    <xf numFmtId="43" fontId="13" fillId="0" borderId="6" xfId="0" applyNumberFormat="1" applyFont="1" applyBorder="1"/>
    <xf numFmtId="43" fontId="13" fillId="0" borderId="7" xfId="0" applyNumberFormat="1" applyFont="1" applyBorder="1"/>
    <xf numFmtId="170" fontId="13" fillId="0" borderId="8" xfId="0" applyNumberFormat="1" applyFont="1" applyBorder="1"/>
    <xf numFmtId="170" fontId="13" fillId="0" borderId="1" xfId="0" applyNumberFormat="1" applyFont="1" applyBorder="1"/>
    <xf numFmtId="170" fontId="13" fillId="0" borderId="9" xfId="0" applyNumberFormat="1" applyFont="1" applyBorder="1"/>
    <xf numFmtId="0" fontId="20" fillId="0" borderId="1" xfId="0" applyFont="1" applyBorder="1" applyAlignment="1">
      <alignment vertical="center"/>
    </xf>
    <xf numFmtId="0" fontId="17" fillId="3" borderId="0" xfId="0" applyFont="1" applyFill="1" applyAlignment="1">
      <alignment horizontal="center"/>
    </xf>
    <xf numFmtId="0" fontId="21" fillId="0" borderId="1" xfId="0" applyFont="1" applyBorder="1" applyAlignment="1">
      <alignment horizontal="center" vertical="center"/>
    </xf>
    <xf numFmtId="168" fontId="13" fillId="0" borderId="0" xfId="0" applyNumberFormat="1" applyFont="1" applyAlignment="1">
      <alignment horizontal="center"/>
    </xf>
    <xf numFmtId="9" fontId="13" fillId="3" borderId="0" xfId="8" applyFont="1" applyFill="1"/>
    <xf numFmtId="172" fontId="13" fillId="0" borderId="0" xfId="0" applyNumberFormat="1" applyFont="1"/>
    <xf numFmtId="0" fontId="24" fillId="5" borderId="10" xfId="0" applyFont="1" applyFill="1" applyBorder="1" applyAlignment="1">
      <alignment horizontal="center"/>
    </xf>
    <xf numFmtId="172" fontId="13" fillId="0" borderId="10" xfId="0" applyNumberFormat="1" applyFont="1" applyBorder="1"/>
    <xf numFmtId="172" fontId="13" fillId="0" borderId="11" xfId="3" applyNumberFormat="1" applyFont="1" applyBorder="1"/>
    <xf numFmtId="9" fontId="20" fillId="6" borderId="12" xfId="8" applyFont="1" applyFill="1" applyBorder="1"/>
    <xf numFmtId="9" fontId="20" fillId="7" borderId="12" xfId="8" applyFont="1" applyFill="1" applyBorder="1"/>
    <xf numFmtId="9" fontId="20" fillId="8" borderId="12" xfId="8" applyFont="1" applyFill="1" applyBorder="1"/>
    <xf numFmtId="172" fontId="13" fillId="0" borderId="12" xfId="0" applyNumberFormat="1" applyFont="1" applyBorder="1"/>
    <xf numFmtId="9" fontId="13" fillId="0" borderId="1" xfId="8" applyFont="1" applyBorder="1"/>
    <xf numFmtId="9" fontId="14" fillId="2" borderId="1" xfId="8" applyFont="1" applyFill="1" applyBorder="1" applyAlignment="1">
      <alignment horizontal="center"/>
    </xf>
    <xf numFmtId="9" fontId="13" fillId="2" borderId="0" xfId="8" applyFont="1" applyFill="1"/>
    <xf numFmtId="9" fontId="13" fillId="2" borderId="0" xfId="8" applyFont="1" applyFill="1" applyAlignment="1">
      <alignment horizontal="right"/>
    </xf>
    <xf numFmtId="9" fontId="13" fillId="2" borderId="0" xfId="8" applyFont="1" applyFill="1" applyBorder="1" applyAlignment="1">
      <alignment horizontal="right"/>
    </xf>
    <xf numFmtId="9" fontId="1" fillId="2" borderId="0" xfId="8" applyFont="1" applyFill="1" applyBorder="1" applyAlignment="1">
      <alignment horizontal="center"/>
    </xf>
    <xf numFmtId="9" fontId="1" fillId="2" borderId="0" xfId="8" applyFont="1" applyFill="1" applyAlignment="1">
      <alignment horizontal="center"/>
    </xf>
    <xf numFmtId="9" fontId="1" fillId="2" borderId="0" xfId="8" applyFont="1" applyFill="1" applyAlignment="1">
      <alignment horizontal="center" vertical="center"/>
    </xf>
    <xf numFmtId="10" fontId="13" fillId="0" borderId="1" xfId="0" applyNumberFormat="1" applyFont="1" applyBorder="1"/>
    <xf numFmtId="44" fontId="13" fillId="0" borderId="0" xfId="0" applyNumberFormat="1" applyFont="1"/>
    <xf numFmtId="171" fontId="13" fillId="0" borderId="13" xfId="0" applyNumberFormat="1" applyFont="1" applyBorder="1"/>
    <xf numFmtId="0" fontId="13" fillId="0" borderId="12" xfId="0" applyFont="1" applyBorder="1" applyAlignment="1">
      <alignment horizontal="center" vertical="center" wrapText="1"/>
    </xf>
    <xf numFmtId="0" fontId="13" fillId="0" borderId="5" xfId="0" applyFont="1" applyBorder="1"/>
    <xf numFmtId="0" fontId="13" fillId="0" borderId="6" xfId="0" applyFont="1" applyBorder="1"/>
    <xf numFmtId="9" fontId="13" fillId="0" borderId="7" xfId="8" applyFont="1" applyBorder="1"/>
    <xf numFmtId="0" fontId="13" fillId="0" borderId="14" xfId="0" applyFont="1" applyBorder="1"/>
    <xf numFmtId="171" fontId="13" fillId="0" borderId="0" xfId="0" applyNumberFormat="1" applyFont="1"/>
    <xf numFmtId="171" fontId="13" fillId="0" borderId="15" xfId="0" applyNumberFormat="1" applyFont="1" applyBorder="1"/>
    <xf numFmtId="9" fontId="13" fillId="0" borderId="15" xfId="8" applyFont="1" applyBorder="1"/>
    <xf numFmtId="0" fontId="13" fillId="0" borderId="8" xfId="0" applyFont="1" applyBorder="1"/>
    <xf numFmtId="9" fontId="13" fillId="0" borderId="9" xfId="8" applyFont="1" applyBorder="1"/>
    <xf numFmtId="171" fontId="13" fillId="9" borderId="0" xfId="0" applyNumberFormat="1" applyFont="1" applyFill="1"/>
    <xf numFmtId="9" fontId="13" fillId="0" borderId="10" xfId="0" applyNumberFormat="1" applyFont="1" applyBorder="1" applyAlignment="1">
      <alignment horizontal="center"/>
    </xf>
    <xf numFmtId="168" fontId="13" fillId="0" borderId="1" xfId="0" applyNumberFormat="1" applyFont="1" applyBorder="1" applyAlignment="1">
      <alignment horizontal="center"/>
    </xf>
    <xf numFmtId="168" fontId="13" fillId="0" borderId="9" xfId="0" applyNumberFormat="1"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168" fontId="13" fillId="0" borderId="10" xfId="0" applyNumberFormat="1" applyFont="1" applyBorder="1" applyAlignment="1">
      <alignment horizontal="center"/>
    </xf>
    <xf numFmtId="0" fontId="25" fillId="0" borderId="0" xfId="0" applyFont="1" applyAlignment="1">
      <alignment horizontal="left" vertical="center"/>
    </xf>
    <xf numFmtId="9" fontId="13" fillId="0" borderId="0" xfId="8" applyFont="1" applyBorder="1" applyAlignment="1">
      <alignment horizontal="center"/>
    </xf>
    <xf numFmtId="9" fontId="13" fillId="0" borderId="0" xfId="0" applyNumberFormat="1" applyFont="1" applyAlignment="1">
      <alignment horizontal="center"/>
    </xf>
    <xf numFmtId="9" fontId="13" fillId="0" borderId="15" xfId="0" applyNumberFormat="1" applyFont="1" applyBorder="1" applyAlignment="1">
      <alignment horizontal="center"/>
    </xf>
    <xf numFmtId="0" fontId="26" fillId="0" borderId="0" xfId="0" applyFont="1" applyAlignment="1">
      <alignment horizontal="center"/>
    </xf>
    <xf numFmtId="0" fontId="17" fillId="0" borderId="0" xfId="0" applyFont="1" applyAlignment="1">
      <alignment horizontal="center"/>
    </xf>
    <xf numFmtId="0" fontId="27" fillId="0" borderId="0" xfId="0" applyFont="1" applyAlignment="1">
      <alignment horizontal="center"/>
    </xf>
    <xf numFmtId="0" fontId="19" fillId="3" borderId="0" xfId="0" applyFont="1" applyFill="1" applyAlignment="1">
      <alignment horizontal="center"/>
    </xf>
    <xf numFmtId="0" fontId="20" fillId="0" borderId="0" xfId="0" applyFont="1" applyAlignment="1">
      <alignment horizontal="center" vertical="center"/>
    </xf>
    <xf numFmtId="0" fontId="28" fillId="0" borderId="0" xfId="0" applyFont="1" applyAlignment="1">
      <alignment vertical="top" wrapText="1"/>
    </xf>
    <xf numFmtId="0" fontId="29" fillId="0" borderId="0" xfId="0" applyFont="1" applyAlignment="1">
      <alignment vertical="top" wrapText="1"/>
    </xf>
    <xf numFmtId="0" fontId="18" fillId="0" borderId="0" xfId="0" applyFont="1" applyAlignment="1">
      <alignment horizontal="left" vertical="top"/>
    </xf>
    <xf numFmtId="0" fontId="6" fillId="0" borderId="0" xfId="0" applyFont="1" applyAlignment="1">
      <alignment horizontal="left" vertical="top"/>
    </xf>
    <xf numFmtId="0" fontId="30" fillId="0" borderId="0" xfId="0" applyFont="1" applyAlignment="1">
      <alignment vertical="top" wrapText="1"/>
    </xf>
    <xf numFmtId="0" fontId="18" fillId="0" borderId="0" xfId="0" applyFont="1" applyAlignment="1">
      <alignment horizontal="left"/>
    </xf>
    <xf numFmtId="0" fontId="14" fillId="0" borderId="0" xfId="0" applyFont="1" applyAlignment="1">
      <alignment horizontal="center"/>
    </xf>
    <xf numFmtId="0" fontId="14" fillId="0" borderId="0" xfId="0" applyFont="1" applyAlignment="1">
      <alignment horizontal="center" vertical="center"/>
    </xf>
    <xf numFmtId="0" fontId="13" fillId="0" borderId="0" xfId="0" applyFont="1" applyAlignment="1">
      <alignment horizontal="center"/>
    </xf>
  </cellXfs>
  <cellStyles count="9">
    <cellStyle name="Comma" xfId="1" builtinId="3"/>
    <cellStyle name="Comma 2" xfId="2" xr:uid="{5C6C3080-77D4-476F-BAA5-31E8A309D30A}"/>
    <cellStyle name="Currency" xfId="3" builtinId="4"/>
    <cellStyle name="Currency 2" xfId="4" xr:uid="{1BB04A8C-68B4-4411-9E88-B215B9FB2201}"/>
    <cellStyle name="Normal" xfId="0" builtinId="0"/>
    <cellStyle name="Normal 2" xfId="5" xr:uid="{5C9761D4-FBB7-4F85-8849-3ACD5084BBDA}"/>
    <cellStyle name="Normal 2 2" xfId="6" xr:uid="{0797AD1F-66C3-40EC-9C13-F60282C59B78}"/>
    <cellStyle name="Normal 3" xfId="7" xr:uid="{1569F0C9-9885-42D9-A959-F151A1CCEC84}"/>
    <cellStyle name="Percent" xfId="8"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casemanagement.darden.virginia.edu/Users/ShrodeK/AppData/Local/Microsoft/Windows/Temporary%20Internet%20Files/Content.Outlook/3RZDKAAP/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_DATA_"/>
      <sheetName val="Summary"/>
      <sheetName val="Market"/>
      <sheetName val="Wrigley STD"/>
      <sheetName val="Mars STD"/>
      <sheetName val="Wrigley M&amp;A"/>
      <sheetName val="Wrigley Scenarios"/>
      <sheetName val="Mars M&amp;A"/>
      <sheetName val="Mars Scenarios"/>
      <sheetName val="Industry"/>
      <sheetName val="Bonds"/>
      <sheetName val="Proxy"/>
      <sheetName val="IS,BS"/>
      <sheetName val="COGS"/>
      <sheetName val="Sugar"/>
      <sheetName val="Regres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ADCD5-9DE8-4E67-B468-FD0B2C24EB54}">
  <sheetPr>
    <tabColor theme="5" tint="-0.249977111117893"/>
    <pageSetUpPr fitToPage="1"/>
  </sheetPr>
  <dimension ref="A1:IV108"/>
  <sheetViews>
    <sheetView showGridLines="0" tabSelected="1" zoomScale="116" workbookViewId="0">
      <pane ySplit="7" topLeftCell="A8" activePane="bottomLeft" state="frozen"/>
      <selection pane="bottomLeft" activeCell="K6" sqref="K6"/>
    </sheetView>
  </sheetViews>
  <sheetFormatPr baseColWidth="10" defaultColWidth="9" defaultRowHeight="16" outlineLevelRow="1" outlineLevelCol="1" x14ac:dyDescent="0.2"/>
  <cols>
    <col min="1" max="2" width="2.83203125" style="2" customWidth="1"/>
    <col min="3" max="3" width="3" style="2" customWidth="1"/>
    <col min="4" max="4" width="45.83203125" style="2" customWidth="1"/>
    <col min="5" max="10" width="10.83203125" style="2" customWidth="1"/>
    <col min="11" max="11" width="11.1640625" style="2" customWidth="1"/>
    <col min="12" max="12" width="10.83203125" style="15" customWidth="1"/>
    <col min="13" max="13" width="8.83203125" style="2" customWidth="1"/>
    <col min="14" max="14" width="11" style="2" customWidth="1"/>
    <col min="15" max="15" width="9" style="2" hidden="1" customWidth="1" outlineLevel="1"/>
    <col min="16" max="16" width="12.83203125" style="2" hidden="1" customWidth="1" outlineLevel="1"/>
    <col min="17" max="17" width="15" style="2" hidden="1" customWidth="1" outlineLevel="1"/>
    <col min="18" max="18" width="12.83203125" style="2" hidden="1" customWidth="1" outlineLevel="1"/>
    <col min="19" max="19" width="9" style="2" hidden="1" customWidth="1" outlineLevel="1"/>
    <col min="20" max="20" width="11" style="2" customWidth="1" collapsed="1"/>
    <col min="21" max="256" width="11" style="2" customWidth="1"/>
    <col min="257" max="16384" width="9" style="2"/>
  </cols>
  <sheetData>
    <row r="1" spans="1:19" x14ac:dyDescent="0.2">
      <c r="D1" s="140"/>
      <c r="E1" s="140"/>
      <c r="F1" s="140"/>
      <c r="G1" s="140"/>
      <c r="H1" s="140"/>
      <c r="I1" s="140"/>
      <c r="J1" s="140"/>
      <c r="K1" s="140"/>
      <c r="L1" s="140"/>
    </row>
    <row r="2" spans="1:19" ht="20" x14ac:dyDescent="0.2">
      <c r="D2" s="139" t="s">
        <v>0</v>
      </c>
      <c r="E2" s="139"/>
      <c r="F2" s="139"/>
      <c r="G2" s="139"/>
      <c r="H2" s="139"/>
      <c r="I2" s="139"/>
      <c r="J2" s="139"/>
      <c r="K2" s="139"/>
      <c r="L2" s="139"/>
    </row>
    <row r="3" spans="1:19" x14ac:dyDescent="0.2">
      <c r="D3" s="141" t="s">
        <v>1</v>
      </c>
      <c r="E3" s="141"/>
      <c r="F3" s="141"/>
      <c r="G3" s="141"/>
      <c r="H3" s="141"/>
      <c r="I3" s="141"/>
      <c r="J3" s="141"/>
      <c r="K3" s="141"/>
      <c r="L3" s="141"/>
    </row>
    <row r="4" spans="1:19" x14ac:dyDescent="0.2">
      <c r="D4" s="140" t="s">
        <v>2</v>
      </c>
      <c r="E4" s="140"/>
      <c r="F4" s="140"/>
      <c r="G4" s="140"/>
      <c r="H4" s="140"/>
      <c r="I4" s="140"/>
      <c r="J4" s="140"/>
      <c r="K4" s="140"/>
      <c r="L4" s="140"/>
    </row>
    <row r="5" spans="1:19" x14ac:dyDescent="0.2">
      <c r="D5" s="53"/>
      <c r="E5" s="53"/>
      <c r="F5" s="53"/>
      <c r="G5" s="53"/>
      <c r="H5" s="53"/>
      <c r="I5" s="53"/>
      <c r="J5" s="53"/>
      <c r="K5" s="53"/>
      <c r="L5" s="53"/>
    </row>
    <row r="6" spans="1:19" x14ac:dyDescent="0.2">
      <c r="D6" s="100" t="s">
        <v>14</v>
      </c>
      <c r="E6" s="135" t="s">
        <v>4</v>
      </c>
      <c r="F6" s="53"/>
      <c r="G6" s="53"/>
      <c r="H6" s="53"/>
      <c r="I6" s="53"/>
      <c r="J6" s="53"/>
      <c r="K6" s="53"/>
      <c r="L6" s="53"/>
    </row>
    <row r="7" spans="1:19" x14ac:dyDescent="0.2">
      <c r="F7" s="53"/>
      <c r="G7" s="53"/>
      <c r="H7" s="53"/>
      <c r="I7" s="53"/>
      <c r="J7" s="53"/>
      <c r="K7" s="53"/>
      <c r="L7" s="53"/>
    </row>
    <row r="8" spans="1:19" x14ac:dyDescent="0.2">
      <c r="D8" s="53"/>
      <c r="E8" s="53"/>
      <c r="F8" s="53"/>
      <c r="G8" s="53"/>
      <c r="H8" s="53"/>
      <c r="I8" s="53"/>
      <c r="J8" s="53"/>
      <c r="K8" s="53"/>
      <c r="L8" s="53"/>
    </row>
    <row r="9" spans="1:19" ht="18" x14ac:dyDescent="0.2">
      <c r="A9" s="64"/>
      <c r="B9" s="64"/>
      <c r="C9" s="66" t="s">
        <v>5</v>
      </c>
      <c r="D9" s="95"/>
      <c r="E9" s="95"/>
      <c r="F9" s="95"/>
      <c r="G9" s="95"/>
      <c r="H9" s="95"/>
      <c r="I9" s="95"/>
      <c r="J9" s="95"/>
      <c r="K9" s="95"/>
      <c r="L9" s="95"/>
      <c r="O9" s="142" t="s">
        <v>6</v>
      </c>
      <c r="P9" s="142"/>
      <c r="Q9" s="142"/>
      <c r="R9" s="142"/>
      <c r="S9" s="142"/>
    </row>
    <row r="10" spans="1:19" ht="18" outlineLevel="1" x14ac:dyDescent="0.2">
      <c r="D10" s="52"/>
    </row>
    <row r="11" spans="1:19" outlineLevel="1" x14ac:dyDescent="0.2">
      <c r="E11" s="14">
        <v>2006</v>
      </c>
      <c r="F11" s="14">
        <v>2007</v>
      </c>
      <c r="G11" s="14" t="s">
        <v>7</v>
      </c>
      <c r="H11" s="14" t="s">
        <v>8</v>
      </c>
      <c r="I11" s="14" t="s">
        <v>9</v>
      </c>
      <c r="J11" s="14" t="s">
        <v>10</v>
      </c>
      <c r="K11" s="14" t="s">
        <v>11</v>
      </c>
      <c r="L11" s="108" t="s">
        <v>12</v>
      </c>
      <c r="P11" s="96" t="s">
        <v>13</v>
      </c>
      <c r="Q11" s="96" t="s">
        <v>3</v>
      </c>
      <c r="R11" s="96" t="s">
        <v>14</v>
      </c>
    </row>
    <row r="12" spans="1:19" outlineLevel="1" x14ac:dyDescent="0.2">
      <c r="L12" s="109"/>
    </row>
    <row r="13" spans="1:19" outlineLevel="1" x14ac:dyDescent="0.2">
      <c r="D13" s="34" t="s">
        <v>15</v>
      </c>
      <c r="E13" s="31">
        <v>415.93865384615395</v>
      </c>
      <c r="F13" s="31">
        <v>288.24346153846147</v>
      </c>
      <c r="G13" s="32">
        <v>250</v>
      </c>
      <c r="H13" s="32">
        <v>254</v>
      </c>
      <c r="I13" s="32">
        <v>258</v>
      </c>
      <c r="J13" s="32">
        <v>263</v>
      </c>
      <c r="K13" s="32">
        <v>267</v>
      </c>
      <c r="L13" s="109"/>
      <c r="R13" s="29"/>
    </row>
    <row r="14" spans="1:19" outlineLevel="1" x14ac:dyDescent="0.2">
      <c r="D14" s="34" t="s">
        <v>16</v>
      </c>
      <c r="E14" s="24">
        <v>1.5947892648740263</v>
      </c>
      <c r="F14" s="24">
        <v>2.6386589861935628</v>
      </c>
      <c r="G14" s="24">
        <v>2.9266176470588237</v>
      </c>
      <c r="H14" s="24">
        <v>3.0203225806451615</v>
      </c>
      <c r="I14" s="24">
        <v>3.1008421052631578</v>
      </c>
      <c r="J14" s="24">
        <v>3.1791808873720138</v>
      </c>
      <c r="K14" s="24">
        <v>3.2717056856187292</v>
      </c>
      <c r="L14" s="110"/>
    </row>
    <row r="15" spans="1:19" outlineLevel="1" x14ac:dyDescent="0.2">
      <c r="E15" s="18"/>
      <c r="F15" s="19"/>
      <c r="G15" s="19"/>
      <c r="H15" s="19"/>
      <c r="I15" s="19"/>
      <c r="J15" s="19"/>
      <c r="K15" s="19"/>
      <c r="L15" s="110"/>
    </row>
    <row r="16" spans="1:19" outlineLevel="1" x14ac:dyDescent="0.2">
      <c r="C16" s="67" t="s">
        <v>17</v>
      </c>
      <c r="D16" s="63"/>
      <c r="E16" s="18"/>
      <c r="F16" s="19"/>
      <c r="G16" s="19"/>
      <c r="H16" s="19"/>
      <c r="I16" s="19"/>
      <c r="J16" s="19"/>
      <c r="K16" s="19"/>
      <c r="L16" s="110"/>
    </row>
    <row r="17" spans="3:18" outlineLevel="1" x14ac:dyDescent="0.2">
      <c r="C17" s="2" t="s">
        <v>18</v>
      </c>
      <c r="E17" s="20"/>
      <c r="F17" s="20"/>
      <c r="G17" s="20"/>
      <c r="H17" s="20"/>
      <c r="I17" s="20"/>
      <c r="J17" s="20"/>
      <c r="K17" s="20"/>
      <c r="L17" s="111"/>
    </row>
    <row r="18" spans="3:18" outlineLevel="1" x14ac:dyDescent="0.2">
      <c r="D18" s="21" t="s">
        <v>19</v>
      </c>
      <c r="E18" s="49">
        <v>1822.348777569654</v>
      </c>
      <c r="F18" s="49">
        <v>1823.2021257127446</v>
      </c>
      <c r="G18" s="49">
        <v>2010.9869999999999</v>
      </c>
      <c r="H18" s="49">
        <f>(1+L18)*2096.321</f>
        <v>2180.1738399999999</v>
      </c>
      <c r="I18" s="49">
        <f>(1+L18)*2182.5375</f>
        <v>2269.8389999999999</v>
      </c>
      <c r="J18" s="49">
        <f>(1+L18)*2265.291</f>
        <v>2355.9026400000002</v>
      </c>
      <c r="K18" s="49">
        <f>(1+L18)*2353.0375</f>
        <v>2447.1590000000001</v>
      </c>
      <c r="L18" s="112">
        <f t="array" ref="L18">_xlfn.SWITCH($D$6,$P$11,P18,$Q$11,Q18,$R$11,R18)</f>
        <v>0.04</v>
      </c>
      <c r="M18" s="9"/>
      <c r="P18" s="97">
        <v>0.03</v>
      </c>
      <c r="Q18" s="97">
        <v>3.5000000000000003E-2</v>
      </c>
      <c r="R18" s="97">
        <v>0.04</v>
      </c>
    </row>
    <row r="19" spans="3:18" outlineLevel="1" x14ac:dyDescent="0.2">
      <c r="D19" s="21" t="s">
        <v>20</v>
      </c>
      <c r="E19" s="49">
        <v>2153.1460195611935</v>
      </c>
      <c r="F19" s="49">
        <v>2726.015484088457</v>
      </c>
      <c r="G19" s="49">
        <v>3079.89</v>
      </c>
      <c r="H19" s="49">
        <f>(1+L19)*3471.825</f>
        <v>3645.4162499999998</v>
      </c>
      <c r="I19" s="49">
        <f>(1+L19)*3881.67</f>
        <v>4075.7535000000003</v>
      </c>
      <c r="J19" s="49">
        <f>(1+L19)*4356.936</f>
        <v>4574.7828</v>
      </c>
      <c r="K19" s="49">
        <f>(1+L19)*4878.775</f>
        <v>5122.7137499999999</v>
      </c>
      <c r="L19" s="112">
        <f t="array" ref="L19">_xlfn.SWITCH($D$6,$P$11,P19,$Q$11,Q19,$R$11,R19)</f>
        <v>0.05</v>
      </c>
      <c r="M19" s="9"/>
      <c r="P19" s="97">
        <v>0.03</v>
      </c>
      <c r="Q19" s="97">
        <v>0.04</v>
      </c>
      <c r="R19" s="97">
        <v>0.05</v>
      </c>
    </row>
    <row r="20" spans="3:18" ht="15.75" customHeight="1" outlineLevel="1" x14ac:dyDescent="0.2">
      <c r="D20" s="21" t="s">
        <v>21</v>
      </c>
      <c r="E20" s="49">
        <v>647.75233329486502</v>
      </c>
      <c r="F20" s="49">
        <v>776.74379758052089</v>
      </c>
      <c r="G20" s="49">
        <v>875.65499999999997</v>
      </c>
      <c r="H20" s="49">
        <f>(1+L20)*965.498</f>
        <v>1052.39282</v>
      </c>
      <c r="I20" s="49">
        <f>(1+L20)*1060.605</f>
        <v>1156.0594500000002</v>
      </c>
      <c r="J20" s="49">
        <f>(1+L20)*1168.164</f>
        <v>1273.2987600000001</v>
      </c>
      <c r="K20" s="49">
        <f>(1+L20)*1286.615</f>
        <v>1402.4103500000001</v>
      </c>
      <c r="L20" s="112">
        <f t="array" ref="L20">_xlfn.SWITCH($D$6,$P$11,P20,$Q$11,Q20,$R$11,R20)</f>
        <v>0.09</v>
      </c>
      <c r="M20" s="9"/>
      <c r="P20" s="97">
        <v>0.05</v>
      </c>
      <c r="Q20" s="97">
        <v>7.0000000000000007E-2</v>
      </c>
      <c r="R20" s="97">
        <v>0.09</v>
      </c>
    </row>
    <row r="21" spans="3:18" outlineLevel="1" x14ac:dyDescent="0.2">
      <c r="D21" s="21" t="s">
        <v>22</v>
      </c>
      <c r="E21" s="50">
        <v>62.76286957428772</v>
      </c>
      <c r="F21" s="50">
        <v>63.138592618277087</v>
      </c>
      <c r="G21" s="50">
        <v>72.468000000000004</v>
      </c>
      <c r="H21" s="50">
        <f>(1+L21)*79.356</f>
        <v>85.704480000000004</v>
      </c>
      <c r="I21" s="50">
        <f>(1+L21)*90.1875</f>
        <v>97.402500000000003</v>
      </c>
      <c r="J21" s="50">
        <f>(1+L21)*102.609</f>
        <v>110.81772000000001</v>
      </c>
      <c r="K21" s="50">
        <f>(1+L21)*116.5725</f>
        <v>125.89830000000002</v>
      </c>
      <c r="L21" s="112">
        <f t="array" ref="L21">_xlfn.SWITCH($D$6,$P$11,P21,$Q$11,Q21,$R$11,R21)</f>
        <v>0.08</v>
      </c>
      <c r="M21" s="9"/>
      <c r="P21" s="97">
        <v>0.03</v>
      </c>
      <c r="Q21" s="97">
        <v>0.06</v>
      </c>
      <c r="R21" s="97">
        <v>0.08</v>
      </c>
    </row>
    <row r="22" spans="3:18" outlineLevel="1" x14ac:dyDescent="0.2">
      <c r="C22" s="2" t="s">
        <v>23</v>
      </c>
      <c r="E22" s="49">
        <f>SUM(E18:E21)</f>
        <v>4686.01</v>
      </c>
      <c r="F22" s="49">
        <f t="shared" ref="F22:K22" si="0">SUM(F18:F21)</f>
        <v>5389.0999999999995</v>
      </c>
      <c r="G22" s="49">
        <f t="shared" si="0"/>
        <v>6038.9999999999991</v>
      </c>
      <c r="H22" s="49">
        <f t="shared" si="0"/>
        <v>6963.6873900000001</v>
      </c>
      <c r="I22" s="49">
        <f t="shared" si="0"/>
        <v>7599.0544500000015</v>
      </c>
      <c r="J22" s="49">
        <f t="shared" si="0"/>
        <v>8314.8019200000017</v>
      </c>
      <c r="K22" s="49">
        <f t="shared" si="0"/>
        <v>9098.1814000000013</v>
      </c>
      <c r="L22" s="112"/>
      <c r="M22" s="9"/>
    </row>
    <row r="23" spans="3:18" outlineLevel="1" x14ac:dyDescent="0.2">
      <c r="E23" s="49"/>
      <c r="F23" s="49"/>
      <c r="G23" s="49"/>
      <c r="H23" s="49"/>
      <c r="I23" s="49"/>
      <c r="J23" s="49"/>
      <c r="K23" s="49"/>
      <c r="L23" s="112"/>
      <c r="M23" s="9"/>
    </row>
    <row r="24" spans="3:18" outlineLevel="1" x14ac:dyDescent="0.2">
      <c r="C24" s="2" t="s">
        <v>24</v>
      </c>
      <c r="E24" s="51"/>
      <c r="F24" s="49"/>
      <c r="G24" s="49"/>
      <c r="H24" s="49"/>
      <c r="I24" s="49"/>
      <c r="J24" s="49"/>
      <c r="K24" s="49"/>
      <c r="L24" s="112"/>
    </row>
    <row r="25" spans="3:18" outlineLevel="1" x14ac:dyDescent="0.2">
      <c r="D25" s="21" t="s">
        <v>25</v>
      </c>
      <c r="E25" s="51"/>
      <c r="F25" s="49">
        <f>F13*F14</f>
        <v>760.57619999999997</v>
      </c>
      <c r="G25" s="49">
        <f>G13*G14</f>
        <v>731.65441176470597</v>
      </c>
      <c r="H25" s="49">
        <f>H13*H14*(0.317*(1+$L$18)+0.525*(1+$L$19)+0.146*(1+$L$20)+0.012*(1+$L$21))</f>
        <v>807.84453292258081</v>
      </c>
      <c r="I25" s="49">
        <f>I13*I14*(0.3025*(1+$L$18)+0.538*(1+$L$19)+0.147*(1+$L$20)+0.0125*(1+$L$21))</f>
        <v>842.60218207578953</v>
      </c>
      <c r="J25" s="49">
        <f>J13*J14*(0.287*(1+$L$18)+0.552*(1+$L$19)+0.148*(1+$L$20)+0.013*(1+$L$21))</f>
        <v>880.80707058020494</v>
      </c>
      <c r="K25" s="49">
        <f>K13*K14*(0.2725*(1+$L$18)+0.565*(1+$L$19)+0.149*(1+$L$20)+0.0135*(1+$L$21))</f>
        <v>920.40239428494988</v>
      </c>
      <c r="L25" s="112"/>
    </row>
    <row r="26" spans="3:18" outlineLevel="1" x14ac:dyDescent="0.2">
      <c r="D26" s="21" t="s">
        <v>26</v>
      </c>
      <c r="E26" s="51"/>
      <c r="F26" s="49">
        <v>1774.6777999999999</v>
      </c>
      <c r="G26" s="49">
        <v>2046.96</v>
      </c>
      <c r="H26" s="49">
        <f>2278.33*(0.317*(1+$L$18)+0.525*(1+$L$19)+0.146*(1+$L$20)+0.012*(1+$L$21))</f>
        <v>2399.1498399000002</v>
      </c>
      <c r="I26" s="49">
        <f>2515.26*(0.317*(1+$L$18)+0.525*(1+$L$19)+0.146*(1+$L$20)+0.012*(1+$L$21))</f>
        <v>2648.6442378000006</v>
      </c>
      <c r="J26" s="49">
        <f>2794.5*(0.317*(1+$L$18)+0.525*(1+$L$19)+0.146*(1+$L$20)+0.012*(1+$L$21))</f>
        <v>2942.6923350000002</v>
      </c>
      <c r="K26" s="49">
        <f>3097.76*(0.317*(1+$L$18)+0.525*(1+$L$19)+0.146*(1+$L$20)+0.012*(1+$L$21))</f>
        <v>3262.0342128000007</v>
      </c>
      <c r="L26" s="112"/>
    </row>
    <row r="27" spans="3:18" outlineLevel="1" x14ac:dyDescent="0.2">
      <c r="C27" s="25" t="s">
        <v>27</v>
      </c>
      <c r="E27" s="51"/>
      <c r="F27" s="49">
        <f t="shared" ref="F27:K27" si="1">F25+F26</f>
        <v>2535.2539999999999</v>
      </c>
      <c r="G27" s="49">
        <f t="shared" si="1"/>
        <v>2778.6144117647059</v>
      </c>
      <c r="H27" s="49">
        <f t="shared" si="1"/>
        <v>3206.9943728225808</v>
      </c>
      <c r="I27" s="49">
        <f t="shared" si="1"/>
        <v>3491.2464198757903</v>
      </c>
      <c r="J27" s="49">
        <f t="shared" si="1"/>
        <v>3823.4994055802053</v>
      </c>
      <c r="K27" s="49">
        <f t="shared" si="1"/>
        <v>4182.4366070849501</v>
      </c>
      <c r="L27" s="112"/>
    </row>
    <row r="28" spans="3:18" outlineLevel="1" x14ac:dyDescent="0.2">
      <c r="C28" s="25"/>
      <c r="E28" s="51"/>
      <c r="F28" s="49"/>
      <c r="G28" s="49"/>
      <c r="H28" s="49"/>
      <c r="I28" s="49"/>
      <c r="J28" s="49"/>
      <c r="K28" s="49"/>
      <c r="L28" s="112"/>
    </row>
    <row r="29" spans="3:18" outlineLevel="1" x14ac:dyDescent="0.2">
      <c r="C29" s="35" t="s">
        <v>28</v>
      </c>
      <c r="E29" s="51"/>
      <c r="F29" s="49">
        <v>1891.0740000000001</v>
      </c>
      <c r="G29" s="49">
        <v>2113.65</v>
      </c>
      <c r="H29" s="49">
        <f>(1+L29)*2314.55*(0.317*(1+$L$18)+0.525*(1+$L$19)+0.146*(1+$L$20)+0.012*(1+$L$21))</f>
        <v>2071.6969985250003</v>
      </c>
      <c r="I29" s="49">
        <f>(1+L29)*2525.25*(0.317*(1+$L$18)+0.525*(1+$L$19)+0.146*(1+$L$20)+0.012*(1+$L$21))</f>
        <v>2260.2894063750005</v>
      </c>
      <c r="J29" s="49">
        <f>(1+L29)*2754.657*(0.317*(1+$L$18)+0.525*(1+$L$19)+0.146*(1+$L$20)+0.012*(1+$L$21))</f>
        <v>2465.6259916035006</v>
      </c>
      <c r="K29" s="49">
        <f>(1+L29)*3004.98*(0.317*(1+$L$18)+0.525*(1+$L$19)+0.146*(1+$L$20)+0.012*(1+$L$21))</f>
        <v>2689.6839759900004</v>
      </c>
      <c r="L29" s="112">
        <f t="array" ref="L29">_xlfn.SWITCH($D$6,$P$11,P29,$Q$11,Q29,$R$11,R29)</f>
        <v>-0.15</v>
      </c>
      <c r="P29" s="97">
        <v>-7.4999999999999997E-2</v>
      </c>
      <c r="Q29" s="97">
        <v>-0.1</v>
      </c>
      <c r="R29" s="97">
        <v>-0.15</v>
      </c>
    </row>
    <row r="30" spans="3:18" outlineLevel="1" x14ac:dyDescent="0.2">
      <c r="E30" s="51"/>
      <c r="F30" s="49"/>
      <c r="G30" s="49"/>
      <c r="H30" s="49"/>
      <c r="I30" s="49"/>
      <c r="J30" s="49"/>
      <c r="K30" s="49"/>
      <c r="L30" s="112"/>
    </row>
    <row r="31" spans="3:18" outlineLevel="1" x14ac:dyDescent="0.2">
      <c r="C31" s="2" t="s">
        <v>29</v>
      </c>
      <c r="E31" s="51"/>
      <c r="F31" s="49">
        <f t="shared" ref="F31:K31" si="2">F22-F27-F30-F29</f>
        <v>962.77199999999948</v>
      </c>
      <c r="G31" s="49">
        <f t="shared" si="2"/>
        <v>1146.7355882352931</v>
      </c>
      <c r="H31" s="49">
        <f t="shared" si="2"/>
        <v>1684.996018652419</v>
      </c>
      <c r="I31" s="49">
        <f t="shared" si="2"/>
        <v>1847.5186237492112</v>
      </c>
      <c r="J31" s="49">
        <f t="shared" si="2"/>
        <v>2025.6765228162958</v>
      </c>
      <c r="K31" s="49">
        <f t="shared" si="2"/>
        <v>2226.0608169250509</v>
      </c>
      <c r="L31" s="112"/>
      <c r="M31" s="26"/>
    </row>
    <row r="32" spans="3:18" outlineLevel="1" x14ac:dyDescent="0.2">
      <c r="E32" s="51"/>
      <c r="F32" s="49"/>
      <c r="G32" s="49"/>
      <c r="H32" s="49"/>
      <c r="I32" s="49"/>
      <c r="J32" s="49"/>
      <c r="K32" s="49"/>
      <c r="L32" s="112"/>
      <c r="M32" s="26"/>
    </row>
    <row r="33" spans="1:256" outlineLevel="1" x14ac:dyDescent="0.2">
      <c r="C33" s="67" t="s">
        <v>30</v>
      </c>
      <c r="D33" s="63"/>
      <c r="E33" s="51"/>
      <c r="F33" s="49"/>
      <c r="G33" s="49"/>
      <c r="H33" s="49"/>
      <c r="I33" s="49"/>
      <c r="J33" s="49"/>
      <c r="K33" s="49"/>
      <c r="L33" s="112"/>
      <c r="M33" s="26"/>
    </row>
    <row r="34" spans="1:256" outlineLevel="1" x14ac:dyDescent="0.2">
      <c r="D34" s="2" t="s">
        <v>31</v>
      </c>
      <c r="E34" s="51"/>
      <c r="F34" s="51">
        <f t="shared" ref="F34:K34" si="3">F31*(1-$E$44)</f>
        <v>654.68495999999959</v>
      </c>
      <c r="G34" s="51">
        <f t="shared" si="3"/>
        <v>779.78019999999924</v>
      </c>
      <c r="H34" s="51">
        <f t="shared" si="3"/>
        <v>1145.7972926836449</v>
      </c>
      <c r="I34" s="51">
        <f t="shared" si="3"/>
        <v>1256.3126641494634</v>
      </c>
      <c r="J34" s="51">
        <f t="shared" si="3"/>
        <v>1377.460035515081</v>
      </c>
      <c r="K34" s="51">
        <f t="shared" si="3"/>
        <v>1513.7213555090345</v>
      </c>
      <c r="L34" s="113"/>
      <c r="M34" s="27"/>
    </row>
    <row r="35" spans="1:256" outlineLevel="1" x14ac:dyDescent="0.2">
      <c r="D35" s="2" t="s">
        <v>32</v>
      </c>
      <c r="E35" s="51"/>
      <c r="F35" s="51">
        <v>51.35</v>
      </c>
      <c r="G35" s="51">
        <v>192.86</v>
      </c>
      <c r="H35" s="51">
        <v>156.15</v>
      </c>
      <c r="I35" s="51">
        <v>158.32</v>
      </c>
      <c r="J35" s="51">
        <v>162.96</v>
      </c>
      <c r="K35" s="51">
        <v>160.34</v>
      </c>
      <c r="L35" s="55"/>
      <c r="M35" s="24"/>
      <c r="N35" s="24"/>
      <c r="O35" s="24"/>
      <c r="P35" s="24"/>
      <c r="Q35" s="24"/>
      <c r="R35" s="24"/>
      <c r="S35" s="24"/>
      <c r="U35" s="24"/>
      <c r="V35" s="24"/>
      <c r="W35" s="24"/>
      <c r="X35" s="24"/>
      <c r="Y35" s="24"/>
      <c r="Z35" s="24"/>
      <c r="AA35" s="24"/>
      <c r="AC35" s="24"/>
      <c r="AD35" s="24"/>
      <c r="AE35" s="24"/>
      <c r="AF35" s="24"/>
      <c r="AG35" s="24"/>
      <c r="AH35" s="24"/>
      <c r="AI35" s="24"/>
      <c r="AK35" s="24"/>
      <c r="AL35" s="24"/>
      <c r="AM35" s="24"/>
      <c r="AN35" s="24"/>
      <c r="AO35" s="24"/>
      <c r="AP35" s="24"/>
      <c r="AQ35" s="24"/>
      <c r="AS35" s="24"/>
      <c r="AT35" s="24"/>
      <c r="AU35" s="24"/>
      <c r="AV35" s="24"/>
      <c r="AW35" s="24"/>
      <c r="AX35" s="24"/>
      <c r="AY35" s="24"/>
      <c r="BA35" s="24"/>
      <c r="BB35" s="24"/>
      <c r="BC35" s="24"/>
      <c r="BD35" s="24"/>
      <c r="BE35" s="24"/>
      <c r="BF35" s="24"/>
      <c r="BG35" s="24"/>
      <c r="BI35" s="24"/>
      <c r="BJ35" s="24"/>
      <c r="BK35" s="24"/>
      <c r="BL35" s="24"/>
      <c r="BM35" s="24"/>
      <c r="BN35" s="24"/>
      <c r="BO35" s="24"/>
      <c r="BQ35" s="24"/>
      <c r="BR35" s="24"/>
      <c r="BS35" s="24"/>
      <c r="BT35" s="24"/>
      <c r="BU35" s="24"/>
      <c r="BV35" s="24"/>
      <c r="BW35" s="24"/>
      <c r="BY35" s="24"/>
      <c r="BZ35" s="24"/>
      <c r="CA35" s="24"/>
      <c r="CB35" s="24"/>
      <c r="CC35" s="24"/>
      <c r="CD35" s="24"/>
      <c r="CE35" s="24"/>
      <c r="CG35" s="24"/>
      <c r="CH35" s="24"/>
      <c r="CI35" s="24"/>
      <c r="CJ35" s="24"/>
      <c r="CK35" s="24"/>
      <c r="CL35" s="24"/>
      <c r="CM35" s="24"/>
      <c r="CO35" s="24"/>
      <c r="CP35" s="24"/>
      <c r="CQ35" s="24"/>
      <c r="CR35" s="24"/>
      <c r="CS35" s="24"/>
      <c r="CT35" s="24"/>
      <c r="CU35" s="24"/>
      <c r="CW35" s="24"/>
      <c r="CX35" s="24"/>
      <c r="CY35" s="24"/>
      <c r="CZ35" s="24"/>
      <c r="DA35" s="24"/>
      <c r="DB35" s="24"/>
      <c r="DC35" s="24"/>
      <c r="DE35" s="24"/>
      <c r="DF35" s="24"/>
      <c r="DG35" s="24"/>
      <c r="DH35" s="24"/>
      <c r="DI35" s="24"/>
      <c r="DJ35" s="24"/>
      <c r="DK35" s="24"/>
      <c r="DM35" s="24"/>
      <c r="DN35" s="24"/>
      <c r="DO35" s="24"/>
      <c r="DP35" s="24"/>
      <c r="DQ35" s="24"/>
      <c r="DR35" s="24"/>
      <c r="DS35" s="24"/>
      <c r="DU35" s="24"/>
      <c r="DV35" s="24"/>
      <c r="DW35" s="24"/>
      <c r="DX35" s="24"/>
      <c r="DY35" s="24"/>
      <c r="DZ35" s="24"/>
      <c r="EA35" s="24"/>
      <c r="EC35" s="24"/>
      <c r="ED35" s="24"/>
      <c r="EE35" s="24"/>
      <c r="EF35" s="24"/>
      <c r="EG35" s="24"/>
      <c r="EH35" s="24"/>
      <c r="EI35" s="24"/>
      <c r="EK35" s="24"/>
      <c r="EL35" s="24"/>
      <c r="EM35" s="24"/>
      <c r="EN35" s="24"/>
      <c r="EO35" s="24"/>
      <c r="EP35" s="24"/>
      <c r="EQ35" s="24"/>
      <c r="ES35" s="24"/>
      <c r="ET35" s="24"/>
      <c r="EU35" s="24"/>
      <c r="EV35" s="24"/>
      <c r="EW35" s="24"/>
      <c r="EX35" s="24"/>
      <c r="EY35" s="24"/>
      <c r="FA35" s="24"/>
      <c r="FB35" s="24"/>
      <c r="FC35" s="24"/>
      <c r="FD35" s="24"/>
      <c r="FE35" s="24"/>
      <c r="FF35" s="24"/>
      <c r="FG35" s="24"/>
      <c r="FI35" s="24"/>
      <c r="FJ35" s="24"/>
      <c r="FK35" s="24"/>
      <c r="FL35" s="24"/>
      <c r="FM35" s="24"/>
      <c r="FN35" s="24"/>
      <c r="FO35" s="24"/>
      <c r="FQ35" s="24"/>
      <c r="FR35" s="24"/>
      <c r="FS35" s="24"/>
      <c r="FT35" s="24"/>
      <c r="FU35" s="24"/>
      <c r="FV35" s="24"/>
      <c r="FW35" s="24"/>
      <c r="FY35" s="24"/>
      <c r="FZ35" s="24"/>
      <c r="GA35" s="24"/>
      <c r="GB35" s="24"/>
      <c r="GC35" s="24"/>
      <c r="GD35" s="24"/>
      <c r="GE35" s="24"/>
      <c r="GG35" s="24"/>
      <c r="GH35" s="24"/>
      <c r="GI35" s="24"/>
      <c r="GJ35" s="24"/>
      <c r="GK35" s="24"/>
      <c r="GL35" s="24"/>
      <c r="GM35" s="24"/>
      <c r="GO35" s="24"/>
      <c r="GP35" s="24"/>
      <c r="GQ35" s="24"/>
      <c r="GR35" s="24"/>
      <c r="GS35" s="24"/>
      <c r="GT35" s="24"/>
      <c r="GU35" s="24"/>
      <c r="GW35" s="24"/>
      <c r="GX35" s="24"/>
      <c r="GY35" s="24"/>
      <c r="GZ35" s="24"/>
      <c r="HA35" s="24"/>
      <c r="HB35" s="24"/>
      <c r="HC35" s="24"/>
      <c r="HE35" s="24"/>
      <c r="HF35" s="24"/>
      <c r="HG35" s="24"/>
      <c r="HH35" s="24"/>
      <c r="HI35" s="24"/>
      <c r="HJ35" s="24"/>
      <c r="HK35" s="24"/>
      <c r="HM35" s="24"/>
      <c r="HN35" s="24"/>
      <c r="HO35" s="24"/>
      <c r="HP35" s="24"/>
      <c r="HQ35" s="24"/>
      <c r="HR35" s="24"/>
      <c r="HS35" s="24"/>
      <c r="HU35" s="24"/>
      <c r="HV35" s="24"/>
      <c r="HW35" s="24"/>
      <c r="HX35" s="24"/>
      <c r="HY35" s="24"/>
      <c r="HZ35" s="24"/>
      <c r="IA35" s="24"/>
      <c r="IC35" s="24"/>
      <c r="ID35" s="24"/>
      <c r="IE35" s="24"/>
      <c r="IF35" s="24"/>
      <c r="IG35" s="24"/>
      <c r="IH35" s="24"/>
      <c r="II35" s="24"/>
      <c r="IK35" s="24"/>
      <c r="IL35" s="24"/>
      <c r="IM35" s="24"/>
      <c r="IN35" s="24"/>
      <c r="IO35" s="24"/>
      <c r="IP35" s="24"/>
      <c r="IQ35" s="24"/>
      <c r="IS35" s="24"/>
      <c r="IT35" s="24"/>
      <c r="IU35" s="24"/>
      <c r="IV35" s="24"/>
    </row>
    <row r="36" spans="1:256" outlineLevel="1" x14ac:dyDescent="0.2">
      <c r="D36" s="2" t="s">
        <v>33</v>
      </c>
      <c r="E36" s="51"/>
      <c r="F36" s="51">
        <v>188.9</v>
      </c>
      <c r="G36" s="51">
        <v>325</v>
      </c>
      <c r="H36" s="51">
        <v>340</v>
      </c>
      <c r="I36" s="51">
        <v>356</v>
      </c>
      <c r="J36" s="51">
        <v>373</v>
      </c>
      <c r="K36" s="51">
        <v>390</v>
      </c>
      <c r="L36" s="114"/>
      <c r="M36" s="27"/>
    </row>
    <row r="37" spans="1:256" outlineLevel="1" x14ac:dyDescent="0.2">
      <c r="D37" s="2" t="s">
        <v>34</v>
      </c>
      <c r="E37" s="50"/>
      <c r="F37" s="50">
        <f t="shared" ref="F37:K37" si="4">F41-E41</f>
        <v>-5.4400000000000546</v>
      </c>
      <c r="G37" s="50">
        <f t="shared" si="4"/>
        <v>133.63996260698855</v>
      </c>
      <c r="H37" s="50">
        <f t="shared" si="4"/>
        <v>-11.801795394896999</v>
      </c>
      <c r="I37" s="50">
        <f t="shared" si="4"/>
        <v>42.414938100551694</v>
      </c>
      <c r="J37" s="50">
        <f t="shared" si="4"/>
        <v>52.357359070923962</v>
      </c>
      <c r="K37" s="50">
        <f t="shared" si="4"/>
        <v>31.99281166550054</v>
      </c>
      <c r="L37" s="112"/>
      <c r="M37" s="27"/>
    </row>
    <row r="38" spans="1:256" outlineLevel="1" x14ac:dyDescent="0.2">
      <c r="C38" s="2" t="s">
        <v>35</v>
      </c>
      <c r="E38" s="51"/>
      <c r="F38" s="51"/>
      <c r="G38" s="51">
        <f>G34+G35-G36-G37</f>
        <v>514.00023739301071</v>
      </c>
      <c r="H38" s="51">
        <f>H34+H35-H36-H37</f>
        <v>973.74908807854194</v>
      </c>
      <c r="I38" s="51">
        <f>I34+I35-I36-I37</f>
        <v>1016.2177260489117</v>
      </c>
      <c r="J38" s="51">
        <f>J34+J35-J36-J37</f>
        <v>1115.0626764441572</v>
      </c>
      <c r="K38" s="51">
        <f>K34+K35-K36-K37</f>
        <v>1252.0685438435339</v>
      </c>
      <c r="L38" s="113"/>
      <c r="M38" s="27"/>
    </row>
    <row r="39" spans="1:256" outlineLevel="1" x14ac:dyDescent="0.2">
      <c r="E39" s="51"/>
      <c r="F39" s="51"/>
      <c r="G39" s="51"/>
      <c r="H39" s="51"/>
      <c r="I39" s="51"/>
      <c r="J39" s="51"/>
      <c r="K39" s="51"/>
      <c r="L39" s="113"/>
      <c r="M39" s="28"/>
    </row>
    <row r="40" spans="1:256" outlineLevel="1" x14ac:dyDescent="0.2">
      <c r="E40" s="24"/>
      <c r="F40" s="24"/>
      <c r="G40" s="24"/>
      <c r="H40" s="24"/>
      <c r="I40" s="24"/>
      <c r="J40" s="24"/>
      <c r="K40" s="24"/>
      <c r="L40" s="113"/>
      <c r="M40" s="28"/>
    </row>
    <row r="41" spans="1:256" outlineLevel="1" x14ac:dyDescent="0.2">
      <c r="C41" s="35" t="s">
        <v>36</v>
      </c>
      <c r="E41" s="31">
        <f t="shared" ref="E41:K41" si="5">E22*E42</f>
        <v>454.09800000000018</v>
      </c>
      <c r="F41" s="31">
        <f t="shared" si="5"/>
        <v>448.65800000000013</v>
      </c>
      <c r="G41" s="31">
        <f t="shared" si="5"/>
        <v>582.29796260698868</v>
      </c>
      <c r="H41" s="31">
        <f t="shared" si="5"/>
        <v>570.49616721209168</v>
      </c>
      <c r="I41" s="31">
        <f t="shared" si="5"/>
        <v>612.91110531264337</v>
      </c>
      <c r="J41" s="31">
        <f t="shared" si="5"/>
        <v>665.26846438356733</v>
      </c>
      <c r="K41" s="31">
        <f t="shared" si="5"/>
        <v>697.26127604906787</v>
      </c>
      <c r="L41" s="112">
        <f t="array" ref="L41">_xlfn.SWITCH($D$6,$P$11,P41,$Q$11,Q41,$R$11,R41)</f>
        <v>-0.35</v>
      </c>
      <c r="M41" s="27"/>
      <c r="P41" s="97">
        <v>-0.2</v>
      </c>
      <c r="Q41" s="97">
        <v>-0.25</v>
      </c>
      <c r="R41" s="97">
        <v>-0.35</v>
      </c>
    </row>
    <row r="42" spans="1:256" outlineLevel="1" x14ac:dyDescent="0.2">
      <c r="D42" s="35" t="s">
        <v>37</v>
      </c>
      <c r="E42" s="18">
        <v>9.6905042882964434E-2</v>
      </c>
      <c r="F42" s="18">
        <v>8.3252862259004315E-2</v>
      </c>
      <c r="G42" s="18">
        <v>9.6422911509685169E-2</v>
      </c>
      <c r="H42" s="18">
        <v>8.1924436761956904E-2</v>
      </c>
      <c r="I42" s="18">
        <v>8.0656232870214964E-2</v>
      </c>
      <c r="J42" s="18">
        <v>8.0010139842702013E-2</v>
      </c>
      <c r="K42" s="18">
        <v>7.6637433943564565E-2</v>
      </c>
      <c r="L42" s="113"/>
      <c r="M42" s="27"/>
    </row>
    <row r="43" spans="1:256" outlineLevel="1" x14ac:dyDescent="0.2">
      <c r="M43" s="27"/>
    </row>
    <row r="44" spans="1:256" outlineLevel="1" x14ac:dyDescent="0.2">
      <c r="D44" s="2" t="s">
        <v>38</v>
      </c>
      <c r="E44" s="29">
        <v>0.32</v>
      </c>
      <c r="M44" s="27"/>
    </row>
    <row r="45" spans="1:256" x14ac:dyDescent="0.2">
      <c r="M45" s="27"/>
    </row>
    <row r="46" spans="1:256" ht="18" x14ac:dyDescent="0.2">
      <c r="A46" s="64"/>
      <c r="B46" s="64"/>
      <c r="C46" s="66" t="s">
        <v>39</v>
      </c>
      <c r="D46" s="64"/>
      <c r="E46" s="64"/>
      <c r="F46" s="64"/>
      <c r="G46" s="64"/>
      <c r="H46" s="64"/>
      <c r="I46" s="64"/>
      <c r="J46" s="64"/>
      <c r="K46" s="64"/>
      <c r="L46" s="98"/>
    </row>
    <row r="47" spans="1:256" outlineLevel="1" x14ac:dyDescent="0.2"/>
    <row r="48" spans="1:256" outlineLevel="1" x14ac:dyDescent="0.2">
      <c r="C48" s="2" t="s">
        <v>40</v>
      </c>
      <c r="K48" s="70">
        <f>'DCF - Ex.11'!E90</f>
        <v>7.6672101477422067E-2</v>
      </c>
    </row>
    <row r="49" spans="3:11" outlineLevel="1" x14ac:dyDescent="0.2"/>
    <row r="50" spans="3:11" outlineLevel="1" x14ac:dyDescent="0.2">
      <c r="C50" s="67" t="s">
        <v>41</v>
      </c>
      <c r="D50" s="63"/>
      <c r="G50" s="71">
        <v>1</v>
      </c>
      <c r="H50" s="71">
        <v>2</v>
      </c>
      <c r="I50" s="71">
        <v>3</v>
      </c>
      <c r="J50" s="71">
        <v>4</v>
      </c>
      <c r="K50" s="71">
        <v>5</v>
      </c>
    </row>
    <row r="51" spans="3:11" outlineLevel="1" x14ac:dyDescent="0.2">
      <c r="D51" s="2" t="s">
        <v>35</v>
      </c>
      <c r="G51" s="59">
        <f>G38</f>
        <v>514.00023739301071</v>
      </c>
      <c r="H51" s="59">
        <f>H38</f>
        <v>973.74908807854194</v>
      </c>
      <c r="I51" s="59">
        <f>I38</f>
        <v>1016.2177260489117</v>
      </c>
      <c r="J51" s="59">
        <f>J38</f>
        <v>1115.0626764441572</v>
      </c>
      <c r="K51" s="59">
        <f>K38</f>
        <v>1252.0685438435339</v>
      </c>
    </row>
    <row r="52" spans="3:11" outlineLevel="1" x14ac:dyDescent="0.2">
      <c r="D52" s="2" t="s">
        <v>42</v>
      </c>
      <c r="G52" s="59">
        <f>1/(1+$K$48)^G50</f>
        <v>0.92878788131297196</v>
      </c>
      <c r="H52" s="59">
        <f>1/(1+$K$48)^H50</f>
        <v>0.86264692847383928</v>
      </c>
      <c r="I52" s="59">
        <f>1/(1+$K$48)^I50</f>
        <v>0.80121601301835998</v>
      </c>
      <c r="J52" s="59">
        <f>1/(1+$K$48)^J50</f>
        <v>0.74415972320534929</v>
      </c>
      <c r="K52" s="59">
        <f>1/(1+$K$48)^K50</f>
        <v>0.69116653267434403</v>
      </c>
    </row>
    <row r="53" spans="3:11" outlineLevel="1" x14ac:dyDescent="0.2">
      <c r="D53" s="2" t="s">
        <v>43</v>
      </c>
      <c r="G53" s="59">
        <f>G51*G52</f>
        <v>477.39719148261906</v>
      </c>
      <c r="H53" s="59">
        <f>H51*H52</f>
        <v>840.00165993515623</v>
      </c>
      <c r="I53" s="59">
        <f>I51*I52</f>
        <v>814.20991482349302</v>
      </c>
      <c r="J53" s="59">
        <f>J51*J52</f>
        <v>829.78473265929995</v>
      </c>
      <c r="K53" s="59">
        <f>K51*K52</f>
        <v>865.38787411895021</v>
      </c>
    </row>
    <row r="54" spans="3:11" outlineLevel="1" x14ac:dyDescent="0.2">
      <c r="D54" s="2" t="s">
        <v>44</v>
      </c>
      <c r="K54" s="59">
        <f>SUM(G53:K53)</f>
        <v>3826.7813730195185</v>
      </c>
    </row>
    <row r="55" spans="3:11" outlineLevel="1" x14ac:dyDescent="0.2"/>
    <row r="56" spans="3:11" outlineLevel="1" x14ac:dyDescent="0.2">
      <c r="C56" s="67" t="s">
        <v>45</v>
      </c>
      <c r="D56" s="63"/>
    </row>
    <row r="57" spans="3:11" outlineLevel="1" x14ac:dyDescent="0.2">
      <c r="D57" s="2" t="s">
        <v>46</v>
      </c>
      <c r="K57" s="56">
        <v>2.5000000000000001E-2</v>
      </c>
    </row>
    <row r="58" spans="3:11" outlineLevel="1" x14ac:dyDescent="0.2">
      <c r="D58" s="2" t="s">
        <v>47</v>
      </c>
      <c r="K58" s="59">
        <f>K51*(1+$K$57)/($K$48-$K$57)</f>
        <v>24836.811756154068</v>
      </c>
    </row>
    <row r="59" spans="3:11" outlineLevel="1" x14ac:dyDescent="0.2">
      <c r="D59" s="2" t="s">
        <v>42</v>
      </c>
      <c r="K59" s="59">
        <f>1/(1+$K$48)^K50</f>
        <v>0.69116653267434403</v>
      </c>
    </row>
    <row r="60" spans="3:11" outlineLevel="1" x14ac:dyDescent="0.2">
      <c r="D60" s="2" t="s">
        <v>48</v>
      </c>
      <c r="K60" s="59">
        <f>K58*K59</f>
        <v>17166.373064186391</v>
      </c>
    </row>
    <row r="61" spans="3:11" outlineLevel="1" x14ac:dyDescent="0.2"/>
    <row r="62" spans="3:11" outlineLevel="1" x14ac:dyDescent="0.2">
      <c r="C62" s="67" t="s">
        <v>49</v>
      </c>
      <c r="D62" s="63"/>
      <c r="K62" s="59"/>
    </row>
    <row r="63" spans="3:11" outlineLevel="1" x14ac:dyDescent="0.2">
      <c r="D63" s="2" t="s">
        <v>50</v>
      </c>
      <c r="K63" s="59">
        <f>K54+K60</f>
        <v>20993.154437205911</v>
      </c>
    </row>
    <row r="64" spans="3:11" outlineLevel="1" x14ac:dyDescent="0.2"/>
    <row r="65" spans="1:21" outlineLevel="1" x14ac:dyDescent="0.2">
      <c r="D65" s="2" t="s">
        <v>51</v>
      </c>
      <c r="K65" s="57">
        <f>'Exhibit 9'!F21</f>
        <v>1000</v>
      </c>
    </row>
    <row r="66" spans="1:21" outlineLevel="1" x14ac:dyDescent="0.2">
      <c r="D66" s="2" t="s">
        <v>52</v>
      </c>
      <c r="K66" s="59">
        <f>K63-K65</f>
        <v>19993.154437205911</v>
      </c>
    </row>
    <row r="67" spans="1:21" outlineLevel="1" x14ac:dyDescent="0.2">
      <c r="D67" s="2" t="s">
        <v>53</v>
      </c>
      <c r="K67" s="58">
        <f>'Exhibit 9'!F15</f>
        <v>275357</v>
      </c>
    </row>
    <row r="68" spans="1:21" outlineLevel="1" x14ac:dyDescent="0.2"/>
    <row r="69" spans="1:21" outlineLevel="1" x14ac:dyDescent="0.2">
      <c r="D69" s="2" t="s">
        <v>54</v>
      </c>
      <c r="K69" s="69">
        <f>K66*1000/K67</f>
        <v>72.608121228826249</v>
      </c>
    </row>
    <row r="71" spans="1:21" ht="18" x14ac:dyDescent="0.2">
      <c r="A71" s="64"/>
      <c r="B71" s="64"/>
      <c r="C71" s="66" t="s">
        <v>55</v>
      </c>
      <c r="D71" s="64"/>
      <c r="E71" s="64"/>
      <c r="F71" s="64"/>
      <c r="G71" s="64"/>
      <c r="H71" s="64"/>
      <c r="I71" s="64"/>
      <c r="J71" s="64"/>
      <c r="K71" s="64"/>
      <c r="L71" s="98"/>
    </row>
    <row r="72" spans="1:21" outlineLevel="1" x14ac:dyDescent="0.2"/>
    <row r="73" spans="1:21" outlineLevel="1" x14ac:dyDescent="0.2">
      <c r="C73" s="2" t="s">
        <v>56</v>
      </c>
      <c r="K73" s="101">
        <f>K69</f>
        <v>72.608121228826249</v>
      </c>
      <c r="R73" s="29"/>
      <c r="S73" s="29"/>
      <c r="T73" s="29"/>
      <c r="U73" s="29"/>
    </row>
    <row r="74" spans="1:21" outlineLevel="1" x14ac:dyDescent="0.2">
      <c r="Q74" s="116"/>
      <c r="R74" s="116"/>
      <c r="S74" s="116"/>
      <c r="T74" s="116"/>
      <c r="U74" s="116"/>
    </row>
    <row r="75" spans="1:21" outlineLevel="1" x14ac:dyDescent="0.2">
      <c r="C75" s="67" t="s">
        <v>57</v>
      </c>
      <c r="D75" s="63"/>
    </row>
    <row r="76" spans="1:21" outlineLevel="1" x14ac:dyDescent="0.2">
      <c r="D76" s="2" t="s">
        <v>58</v>
      </c>
      <c r="K76" s="102">
        <f>'DCF - Ex.11'!K67</f>
        <v>49.817561890565258</v>
      </c>
    </row>
    <row r="77" spans="1:21" outlineLevel="1" x14ac:dyDescent="0.2">
      <c r="D77" s="2" t="s">
        <v>59</v>
      </c>
      <c r="J77" s="63"/>
      <c r="K77" s="106">
        <f>K73-K76</f>
        <v>22.790559338260991</v>
      </c>
      <c r="L77" s="107"/>
    </row>
    <row r="78" spans="1:21" outlineLevel="1" x14ac:dyDescent="0.2">
      <c r="D78" s="2" t="s">
        <v>60</v>
      </c>
      <c r="K78" s="103">
        <f>K77/K76</f>
        <v>0.45748042403851963</v>
      </c>
    </row>
    <row r="79" spans="1:21" outlineLevel="1" x14ac:dyDescent="0.2"/>
    <row r="80" spans="1:21" outlineLevel="1" x14ac:dyDescent="0.2">
      <c r="C80" s="67" t="s">
        <v>61</v>
      </c>
      <c r="D80" s="63"/>
    </row>
    <row r="81" spans="1:15" outlineLevel="1" x14ac:dyDescent="0.2">
      <c r="D81" s="2" t="s">
        <v>54</v>
      </c>
      <c r="K81" s="102">
        <f>'Comparables - Ex.10'!I61</f>
        <v>44.170358985767542</v>
      </c>
    </row>
    <row r="82" spans="1:15" outlineLevel="1" x14ac:dyDescent="0.2">
      <c r="D82" s="2" t="s">
        <v>59</v>
      </c>
      <c r="J82" s="63"/>
      <c r="K82" s="106">
        <f>K73-K81</f>
        <v>28.437762243058707</v>
      </c>
      <c r="L82" s="107"/>
    </row>
    <row r="83" spans="1:15" outlineLevel="1" x14ac:dyDescent="0.2">
      <c r="D83" s="2" t="s">
        <v>60</v>
      </c>
      <c r="K83" s="104">
        <f>K82/K81</f>
        <v>0.64382003895919993</v>
      </c>
    </row>
    <row r="84" spans="1:15" outlineLevel="1" x14ac:dyDescent="0.2"/>
    <row r="85" spans="1:15" outlineLevel="1" x14ac:dyDescent="0.2">
      <c r="C85" s="67" t="s">
        <v>62</v>
      </c>
      <c r="D85" s="63"/>
    </row>
    <row r="86" spans="1:15" outlineLevel="1" x14ac:dyDescent="0.2">
      <c r="D86" s="2" t="s">
        <v>63</v>
      </c>
      <c r="K86" s="102">
        <f>'Comparables - Ex.10'!G26</f>
        <v>57.66</v>
      </c>
      <c r="O86" s="116"/>
    </row>
    <row r="87" spans="1:15" outlineLevel="1" x14ac:dyDescent="0.2">
      <c r="D87" s="2" t="s">
        <v>59</v>
      </c>
      <c r="J87" s="63"/>
      <c r="K87" s="106">
        <f>K73-K86</f>
        <v>14.948121228826253</v>
      </c>
      <c r="L87" s="107"/>
    </row>
    <row r="88" spans="1:15" outlineLevel="1" x14ac:dyDescent="0.2">
      <c r="D88" s="2" t="s">
        <v>60</v>
      </c>
      <c r="K88" s="105">
        <f>K87/K86</f>
        <v>0.25924594569591142</v>
      </c>
    </row>
    <row r="90" spans="1:15" ht="18" x14ac:dyDescent="0.2">
      <c r="A90" s="64"/>
      <c r="B90" s="64"/>
      <c r="C90" s="66" t="s">
        <v>64</v>
      </c>
      <c r="D90" s="64"/>
      <c r="E90" s="64"/>
      <c r="F90" s="64"/>
      <c r="G90" s="64"/>
      <c r="H90" s="64"/>
      <c r="I90" s="64"/>
      <c r="J90" s="64"/>
      <c r="K90" s="64"/>
      <c r="L90" s="98"/>
    </row>
    <row r="91" spans="1:15" outlineLevel="1" x14ac:dyDescent="0.2"/>
    <row r="92" spans="1:15" outlineLevel="1" x14ac:dyDescent="0.2">
      <c r="C92" s="67" t="s">
        <v>65</v>
      </c>
      <c r="D92" s="63"/>
      <c r="E92" s="133" t="s">
        <v>66</v>
      </c>
      <c r="F92" s="133" t="s">
        <v>67</v>
      </c>
      <c r="G92" s="97"/>
      <c r="H92" s="97"/>
      <c r="I92" s="97"/>
      <c r="J92" s="97"/>
      <c r="K92" s="97"/>
      <c r="L92" s="97"/>
    </row>
    <row r="93" spans="1:15" outlineLevel="1" x14ac:dyDescent="0.2">
      <c r="C93" s="2" t="s">
        <v>68</v>
      </c>
    </row>
    <row r="94" spans="1:15" outlineLevel="1" x14ac:dyDescent="0.2">
      <c r="D94" s="2" t="s">
        <v>69</v>
      </c>
      <c r="E94" s="79">
        <v>61.369157098947326</v>
      </c>
    </row>
    <row r="95" spans="1:15" outlineLevel="1" x14ac:dyDescent="0.2">
      <c r="D95" s="2" t="s">
        <v>70</v>
      </c>
      <c r="E95" s="79">
        <v>65.360568505028141</v>
      </c>
      <c r="F95" s="60">
        <v>0.8</v>
      </c>
    </row>
    <row r="96" spans="1:15" outlineLevel="1" x14ac:dyDescent="0.2">
      <c r="D96" s="2" t="s">
        <v>71</v>
      </c>
      <c r="E96" s="79">
        <v>72.608121228826249</v>
      </c>
      <c r="F96" s="60"/>
    </row>
    <row r="97" spans="3:12" outlineLevel="1" x14ac:dyDescent="0.2">
      <c r="C97" s="2" t="s">
        <v>72</v>
      </c>
      <c r="E97" s="79">
        <f>'DCF - Ex.11'!K67</f>
        <v>49.817561890565258</v>
      </c>
      <c r="F97" s="60">
        <v>0.15</v>
      </c>
    </row>
    <row r="98" spans="3:12" outlineLevel="1" x14ac:dyDescent="0.2">
      <c r="C98" s="2" t="s">
        <v>73</v>
      </c>
      <c r="E98" s="79">
        <f>'Comparables - Ex.10'!I61</f>
        <v>44.170358985767542</v>
      </c>
      <c r="F98" s="60">
        <v>0.05</v>
      </c>
    </row>
    <row r="99" spans="3:12" outlineLevel="1" x14ac:dyDescent="0.2">
      <c r="C99" s="2" t="s">
        <v>74</v>
      </c>
      <c r="E99" s="79">
        <f>'Comparables - Ex.10'!G26</f>
        <v>57.66</v>
      </c>
    </row>
    <row r="100" spans="3:12" outlineLevel="1" x14ac:dyDescent="0.2">
      <c r="E100" s="99"/>
    </row>
    <row r="101" spans="3:12" outlineLevel="1" x14ac:dyDescent="0.2">
      <c r="C101" s="119"/>
      <c r="D101" s="120"/>
      <c r="E101" s="120"/>
      <c r="F101" s="120"/>
      <c r="G101" s="120"/>
      <c r="H101" s="120"/>
      <c r="I101" s="120"/>
      <c r="J101" s="120"/>
      <c r="K101" s="120"/>
      <c r="L101" s="121"/>
    </row>
    <row r="102" spans="3:12" outlineLevel="1" x14ac:dyDescent="0.2">
      <c r="C102" s="122"/>
      <c r="D102" s="2" t="s">
        <v>75</v>
      </c>
      <c r="E102" s="136">
        <f>(E105-E99)/E99</f>
        <v>7.4741710664163796E-2</v>
      </c>
      <c r="F102" s="11"/>
      <c r="G102" s="137">
        <f t="shared" ref="G102:L102" si="6">$E$102+G104</f>
        <v>0.1247417106641638</v>
      </c>
      <c r="H102" s="137">
        <f t="shared" si="6"/>
        <v>0.1747417106641638</v>
      </c>
      <c r="I102" s="137">
        <f t="shared" si="6"/>
        <v>0.22474171066416382</v>
      </c>
      <c r="J102" s="137">
        <f t="shared" si="6"/>
        <v>0.27474171066416381</v>
      </c>
      <c r="K102" s="137">
        <f t="shared" si="6"/>
        <v>0.3247417106641638</v>
      </c>
      <c r="L102" s="138">
        <f t="shared" si="6"/>
        <v>0.37474171066416379</v>
      </c>
    </row>
    <row r="103" spans="3:12" outlineLevel="1" x14ac:dyDescent="0.2">
      <c r="C103" s="122"/>
      <c r="D103" s="2" t="s">
        <v>76</v>
      </c>
      <c r="E103" s="60">
        <f>(E105-E97)/E97</f>
        <v>0.24393094894978889</v>
      </c>
      <c r="F103" s="11"/>
      <c r="G103" s="137">
        <f t="shared" ref="G103:L103" si="7">$E$103+G104</f>
        <v>0.29393094894978888</v>
      </c>
      <c r="H103" s="137">
        <f t="shared" si="7"/>
        <v>0.34393094894978893</v>
      </c>
      <c r="I103" s="137">
        <f t="shared" si="7"/>
        <v>0.39393094894978892</v>
      </c>
      <c r="J103" s="137">
        <f t="shared" si="7"/>
        <v>0.44393094894978891</v>
      </c>
      <c r="K103" s="137">
        <f t="shared" si="7"/>
        <v>0.49393094894978889</v>
      </c>
      <c r="L103" s="138">
        <f t="shared" si="7"/>
        <v>0.54393094894978888</v>
      </c>
    </row>
    <row r="104" spans="3:12" outlineLevel="1" x14ac:dyDescent="0.2">
      <c r="C104" s="122"/>
      <c r="D104" s="2" t="s">
        <v>77</v>
      </c>
      <c r="F104" s="132"/>
      <c r="G104" s="129">
        <v>0.05</v>
      </c>
      <c r="H104" s="130">
        <f>G104+5%</f>
        <v>0.1</v>
      </c>
      <c r="I104" s="134">
        <f>H104+5%</f>
        <v>0.15000000000000002</v>
      </c>
      <c r="J104" s="130">
        <f>I104+5%</f>
        <v>0.2</v>
      </c>
      <c r="K104" s="130">
        <f>J104+5%</f>
        <v>0.25</v>
      </c>
      <c r="L104" s="131">
        <f>K104+5%</f>
        <v>0.3</v>
      </c>
    </row>
    <row r="105" spans="3:12" ht="16" customHeight="1" outlineLevel="1" x14ac:dyDescent="0.2">
      <c r="C105" s="122"/>
      <c r="D105" s="2" t="s">
        <v>78</v>
      </c>
      <c r="E105" s="128">
        <f>E95*F95+E97*F97+E98*F98</f>
        <v>61.969607036895681</v>
      </c>
      <c r="G105" s="117">
        <f t="shared" ref="G105:L105" si="8">$E$105*(1+G104)</f>
        <v>65.068087388740466</v>
      </c>
      <c r="H105" s="123">
        <f t="shared" si="8"/>
        <v>68.166567740585251</v>
      </c>
      <c r="I105" s="117">
        <f t="shared" si="8"/>
        <v>71.265048092430021</v>
      </c>
      <c r="J105" s="123">
        <f t="shared" si="8"/>
        <v>74.36352844427482</v>
      </c>
      <c r="K105" s="123">
        <f t="shared" si="8"/>
        <v>77.462008796119605</v>
      </c>
      <c r="L105" s="124">
        <f t="shared" si="8"/>
        <v>80.56048914796439</v>
      </c>
    </row>
    <row r="106" spans="3:12" ht="34" outlineLevel="1" x14ac:dyDescent="0.2">
      <c r="C106" s="122"/>
      <c r="G106" s="118" t="s">
        <v>79</v>
      </c>
      <c r="I106" s="118" t="s">
        <v>80</v>
      </c>
      <c r="L106" s="125"/>
    </row>
    <row r="107" spans="3:12" outlineLevel="1" x14ac:dyDescent="0.2">
      <c r="C107" s="126"/>
      <c r="D107" s="63"/>
      <c r="E107" s="63"/>
      <c r="F107" s="63"/>
      <c r="G107" s="63"/>
      <c r="H107" s="63"/>
      <c r="I107" s="63"/>
      <c r="J107" s="63"/>
      <c r="K107" s="63"/>
      <c r="L107" s="127"/>
    </row>
    <row r="108" spans="3:12" outlineLevel="1" x14ac:dyDescent="0.2"/>
  </sheetData>
  <mergeCells count="5">
    <mergeCell ref="D2:L2"/>
    <mergeCell ref="D1:L1"/>
    <mergeCell ref="D3:L3"/>
    <mergeCell ref="D4:L4"/>
    <mergeCell ref="O9:S9"/>
  </mergeCells>
  <conditionalFormatting sqref="E94:E99">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D6" xr:uid="{778A3584-D922-4D37-979F-5172343CCE9F}">
      <formula1>$P$11:$R$11</formula1>
    </dataValidation>
  </dataValidations>
  <printOptions gridLines="1"/>
  <pageMargins left="0.7" right="0.7" top="0.75" bottom="0.75" header="0.3" footer="0.3"/>
  <pageSetup scale="86"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1D09-535C-4099-B030-3D2D9FF7B497}">
  <dimension ref="A2:L91"/>
  <sheetViews>
    <sheetView showGridLines="0" zoomScaleNormal="100" workbookViewId="0">
      <pane ySplit="7" topLeftCell="A87" activePane="bottomLeft" state="frozen"/>
      <selection pane="bottomLeft" activeCell="D9" sqref="D9"/>
    </sheetView>
  </sheetViews>
  <sheetFormatPr baseColWidth="10" defaultColWidth="9" defaultRowHeight="16" outlineLevelRow="1" x14ac:dyDescent="0.2"/>
  <cols>
    <col min="1" max="3" width="2.83203125" style="2" customWidth="1"/>
    <col min="4" max="4" width="45.83203125" style="2" customWidth="1"/>
    <col min="5" max="11" width="10.83203125" style="2" customWidth="1"/>
    <col min="12" max="12" width="9.6640625" style="2" bestFit="1" customWidth="1"/>
    <col min="13" max="256" width="11" style="2" customWidth="1"/>
    <col min="257" max="16384" width="9" style="2"/>
  </cols>
  <sheetData>
    <row r="2" spans="1:11" x14ac:dyDescent="0.2">
      <c r="D2" s="140" t="s">
        <v>81</v>
      </c>
      <c r="E2" s="140"/>
      <c r="F2" s="140"/>
      <c r="G2" s="140"/>
      <c r="H2" s="140"/>
      <c r="I2" s="140"/>
      <c r="J2" s="140"/>
      <c r="K2" s="140"/>
    </row>
    <row r="3" spans="1:11" ht="20" x14ac:dyDescent="0.2">
      <c r="D3" s="139" t="s">
        <v>0</v>
      </c>
      <c r="E3" s="139"/>
      <c r="F3" s="139"/>
      <c r="G3" s="139"/>
      <c r="H3" s="139"/>
      <c r="I3" s="139"/>
      <c r="J3" s="139"/>
      <c r="K3" s="139"/>
    </row>
    <row r="4" spans="1:11" x14ac:dyDescent="0.2">
      <c r="D4" s="141" t="s">
        <v>82</v>
      </c>
      <c r="E4" s="141"/>
      <c r="F4" s="141"/>
      <c r="G4" s="141"/>
      <c r="H4" s="141"/>
      <c r="I4" s="141"/>
      <c r="J4" s="141"/>
      <c r="K4" s="141"/>
    </row>
    <row r="5" spans="1:11" x14ac:dyDescent="0.2">
      <c r="D5" s="140" t="s">
        <v>2</v>
      </c>
      <c r="E5" s="140"/>
      <c r="F5" s="140"/>
      <c r="G5" s="140"/>
      <c r="H5" s="140"/>
      <c r="I5" s="140"/>
      <c r="J5" s="140"/>
      <c r="K5" s="140"/>
    </row>
    <row r="7" spans="1:11" x14ac:dyDescent="0.2">
      <c r="E7" s="48">
        <v>2006</v>
      </c>
      <c r="F7" s="48">
        <v>2007</v>
      </c>
      <c r="G7" s="48" t="s">
        <v>7</v>
      </c>
      <c r="H7" s="48" t="s">
        <v>8</v>
      </c>
      <c r="I7" s="48" t="s">
        <v>9</v>
      </c>
      <c r="J7" s="48" t="s">
        <v>10</v>
      </c>
      <c r="K7" s="48" t="s">
        <v>11</v>
      </c>
    </row>
    <row r="8" spans="1:11" x14ac:dyDescent="0.2">
      <c r="E8" s="41"/>
      <c r="F8" s="41"/>
      <c r="G8" s="41"/>
      <c r="H8" s="41"/>
      <c r="I8" s="41"/>
      <c r="J8" s="41"/>
      <c r="K8" s="41"/>
    </row>
    <row r="9" spans="1:11" ht="18" x14ac:dyDescent="0.2">
      <c r="A9" s="64"/>
      <c r="B9" s="64"/>
      <c r="C9" s="66" t="s">
        <v>5</v>
      </c>
      <c r="D9" s="64"/>
      <c r="E9" s="65"/>
      <c r="F9" s="65"/>
      <c r="G9" s="65"/>
      <c r="H9" s="65"/>
      <c r="I9" s="65"/>
      <c r="J9" s="65"/>
      <c r="K9" s="65"/>
    </row>
    <row r="10" spans="1:11" outlineLevel="1" x14ac:dyDescent="0.2"/>
    <row r="11" spans="1:11" outlineLevel="1" x14ac:dyDescent="0.2">
      <c r="D11" s="34" t="s">
        <v>15</v>
      </c>
      <c r="E11" s="31">
        <v>415.93865384615395</v>
      </c>
      <c r="F11" s="31">
        <v>288.24346153846147</v>
      </c>
      <c r="G11" s="32">
        <v>250</v>
      </c>
      <c r="H11" s="32">
        <v>254</v>
      </c>
      <c r="I11" s="32">
        <v>258</v>
      </c>
      <c r="J11" s="32">
        <v>263</v>
      </c>
      <c r="K11" s="32">
        <v>267</v>
      </c>
    </row>
    <row r="12" spans="1:11" outlineLevel="1" x14ac:dyDescent="0.2">
      <c r="D12" s="34" t="s">
        <v>16</v>
      </c>
      <c r="E12" s="16">
        <v>1.5947892648740263</v>
      </c>
      <c r="F12" s="16">
        <v>2.6386589861935628</v>
      </c>
      <c r="G12" s="16">
        <v>2.9266176470588237</v>
      </c>
      <c r="H12" s="16">
        <v>3.0203225806451615</v>
      </c>
      <c r="I12" s="16">
        <v>3.1008421052631578</v>
      </c>
      <c r="J12" s="16">
        <v>3.1791808873720138</v>
      </c>
      <c r="K12" s="16">
        <v>3.2717056856187292</v>
      </c>
    </row>
    <row r="13" spans="1:11" outlineLevel="1" x14ac:dyDescent="0.2">
      <c r="D13" s="34"/>
      <c r="E13" s="16"/>
      <c r="F13" s="16"/>
      <c r="G13" s="16"/>
      <c r="H13" s="16"/>
      <c r="I13" s="16"/>
      <c r="J13" s="16"/>
      <c r="K13" s="16"/>
    </row>
    <row r="14" spans="1:11" outlineLevel="1" x14ac:dyDescent="0.2">
      <c r="C14" s="67" t="s">
        <v>17</v>
      </c>
      <c r="D14" s="68"/>
      <c r="E14" s="18"/>
      <c r="F14" s="19"/>
      <c r="G14" s="19"/>
      <c r="H14" s="19"/>
      <c r="I14" s="19"/>
      <c r="J14" s="19"/>
      <c r="K14" s="19"/>
    </row>
    <row r="15" spans="1:11" outlineLevel="1" x14ac:dyDescent="0.2">
      <c r="C15" s="35" t="s">
        <v>18</v>
      </c>
      <c r="E15" s="20"/>
      <c r="F15" s="20"/>
      <c r="G15" s="20"/>
      <c r="H15" s="20"/>
      <c r="I15" s="20"/>
      <c r="J15" s="20"/>
      <c r="K15" s="20"/>
    </row>
    <row r="16" spans="1:11" outlineLevel="1" x14ac:dyDescent="0.2">
      <c r="D16" s="47" t="s">
        <v>19</v>
      </c>
      <c r="E16" s="22">
        <v>1822.348777569654</v>
      </c>
      <c r="F16" s="22">
        <v>1823.2021257127446</v>
      </c>
      <c r="G16" s="22">
        <v>2010.9869999999999</v>
      </c>
      <c r="H16" s="22">
        <v>2096.3209999999999</v>
      </c>
      <c r="I16" s="22">
        <v>2182.5374999999999</v>
      </c>
      <c r="J16" s="22">
        <v>2265.2910000000002</v>
      </c>
      <c r="K16" s="22">
        <v>2353.0374999999999</v>
      </c>
    </row>
    <row r="17" spans="3:12" outlineLevel="1" x14ac:dyDescent="0.2">
      <c r="D17" s="47" t="s">
        <v>20</v>
      </c>
      <c r="E17" s="22">
        <v>2153.1460195611935</v>
      </c>
      <c r="F17" s="22">
        <v>2726.015484088457</v>
      </c>
      <c r="G17" s="22">
        <v>3079.89</v>
      </c>
      <c r="H17" s="22">
        <v>3471.8249999999998</v>
      </c>
      <c r="I17" s="22">
        <v>3881.67</v>
      </c>
      <c r="J17" s="22">
        <v>4356.9359999999997</v>
      </c>
      <c r="K17" s="22">
        <v>4878.7749999999996</v>
      </c>
    </row>
    <row r="18" spans="3:12" ht="15.75" customHeight="1" outlineLevel="1" x14ac:dyDescent="0.2">
      <c r="D18" s="47" t="s">
        <v>21</v>
      </c>
      <c r="E18" s="22">
        <v>647.75233329486502</v>
      </c>
      <c r="F18" s="22">
        <v>776.74379758052089</v>
      </c>
      <c r="G18" s="22">
        <v>875.65499999999997</v>
      </c>
      <c r="H18" s="22">
        <v>965.49800000000005</v>
      </c>
      <c r="I18" s="22">
        <v>1060.605</v>
      </c>
      <c r="J18" s="22">
        <v>1168.164</v>
      </c>
      <c r="K18" s="22">
        <v>1286.615</v>
      </c>
    </row>
    <row r="19" spans="3:12" outlineLevel="1" x14ac:dyDescent="0.2">
      <c r="D19" s="47" t="s">
        <v>22</v>
      </c>
      <c r="E19" s="23">
        <v>62.76286957428772</v>
      </c>
      <c r="F19" s="23">
        <v>63.138592618277087</v>
      </c>
      <c r="G19" s="23">
        <v>72.468000000000004</v>
      </c>
      <c r="H19" s="23">
        <v>79.355999999999995</v>
      </c>
      <c r="I19" s="23">
        <v>90.1875</v>
      </c>
      <c r="J19" s="23">
        <v>102.60899999999999</v>
      </c>
      <c r="K19" s="23">
        <v>116.57250000000001</v>
      </c>
    </row>
    <row r="20" spans="3:12" outlineLevel="1" x14ac:dyDescent="0.2">
      <c r="C20" s="35" t="s">
        <v>23</v>
      </c>
      <c r="E20" s="22">
        <v>4686.01</v>
      </c>
      <c r="F20" s="22">
        <v>5389.0999999999995</v>
      </c>
      <c r="G20" s="22">
        <v>6038.9999999999991</v>
      </c>
      <c r="H20" s="22">
        <v>6613</v>
      </c>
      <c r="I20" s="22">
        <v>7215</v>
      </c>
      <c r="J20" s="22">
        <v>7893</v>
      </c>
      <c r="K20" s="22">
        <v>8635</v>
      </c>
    </row>
    <row r="21" spans="3:12" outlineLevel="1" x14ac:dyDescent="0.2">
      <c r="C21" s="35"/>
      <c r="E21" s="22"/>
      <c r="F21" s="22"/>
      <c r="G21" s="22"/>
      <c r="H21" s="22"/>
      <c r="I21" s="22"/>
      <c r="J21" s="22"/>
      <c r="K21" s="22"/>
    </row>
    <row r="22" spans="3:12" outlineLevel="1" x14ac:dyDescent="0.2">
      <c r="C22" s="35" t="s">
        <v>24</v>
      </c>
      <c r="E22" s="24"/>
      <c r="F22" s="22"/>
      <c r="G22" s="22"/>
      <c r="H22" s="22"/>
      <c r="I22" s="22"/>
      <c r="J22" s="22"/>
      <c r="K22" s="22"/>
    </row>
    <row r="23" spans="3:12" outlineLevel="1" x14ac:dyDescent="0.2">
      <c r="D23" s="47" t="s">
        <v>25</v>
      </c>
      <c r="E23" s="24"/>
      <c r="F23" s="22">
        <v>760.57619999999997</v>
      </c>
      <c r="G23" s="22">
        <v>731.65441176470597</v>
      </c>
      <c r="H23" s="22">
        <v>767.16193548387105</v>
      </c>
      <c r="I23" s="22">
        <v>800.01726315789472</v>
      </c>
      <c r="J23" s="22">
        <v>836.12457337883961</v>
      </c>
      <c r="K23" s="22">
        <v>873.54541806020063</v>
      </c>
    </row>
    <row r="24" spans="3:12" outlineLevel="1" x14ac:dyDescent="0.2">
      <c r="D24" s="47" t="s">
        <v>26</v>
      </c>
      <c r="E24" s="24"/>
      <c r="F24" s="22">
        <v>1774.6777999999999</v>
      </c>
      <c r="G24" s="22">
        <v>2046.96</v>
      </c>
      <c r="H24" s="22">
        <v>2278.33</v>
      </c>
      <c r="I24" s="22">
        <v>2515.2600000000002</v>
      </c>
      <c r="J24" s="22">
        <v>2794.5</v>
      </c>
      <c r="K24" s="22">
        <v>3097.76</v>
      </c>
    </row>
    <row r="25" spans="3:12" outlineLevel="1" x14ac:dyDescent="0.2">
      <c r="C25" s="47" t="s">
        <v>27</v>
      </c>
      <c r="E25" s="24"/>
      <c r="F25" s="22">
        <v>2535.2539999999999</v>
      </c>
      <c r="G25" s="22">
        <v>2778.6144117647059</v>
      </c>
      <c r="H25" s="22">
        <v>3045.4919354838712</v>
      </c>
      <c r="I25" s="22">
        <v>3315.277263157895</v>
      </c>
      <c r="J25" s="22">
        <v>3630.6245733788396</v>
      </c>
      <c r="K25" s="22">
        <v>3971.3054180602007</v>
      </c>
    </row>
    <row r="26" spans="3:12" outlineLevel="1" x14ac:dyDescent="0.2">
      <c r="C26" s="47"/>
      <c r="E26" s="24"/>
      <c r="F26" s="22"/>
      <c r="G26" s="22"/>
      <c r="H26" s="22"/>
      <c r="I26" s="22"/>
      <c r="J26" s="22"/>
      <c r="K26" s="22"/>
    </row>
    <row r="27" spans="3:12" outlineLevel="1" x14ac:dyDescent="0.2">
      <c r="C27" s="35" t="s">
        <v>28</v>
      </c>
      <c r="E27" s="24"/>
      <c r="F27" s="22">
        <v>1891.0740000000001</v>
      </c>
      <c r="G27" s="22">
        <v>2113.65</v>
      </c>
      <c r="H27" s="22">
        <v>2314.5500000000002</v>
      </c>
      <c r="I27" s="22">
        <v>2525.25</v>
      </c>
      <c r="J27" s="22">
        <v>2754.6570000000002</v>
      </c>
      <c r="K27" s="22">
        <v>3004.98</v>
      </c>
    </row>
    <row r="28" spans="3:12" outlineLevel="1" x14ac:dyDescent="0.2">
      <c r="D28" s="35"/>
      <c r="E28" s="24"/>
      <c r="F28" s="22"/>
      <c r="G28" s="22"/>
      <c r="H28" s="22"/>
      <c r="I28" s="22"/>
      <c r="J28" s="22"/>
      <c r="K28" s="22"/>
    </row>
    <row r="29" spans="3:12" outlineLevel="1" x14ac:dyDescent="0.2">
      <c r="C29" s="35" t="s">
        <v>29</v>
      </c>
      <c r="E29" s="24"/>
      <c r="F29" s="22">
        <v>962.77199999999948</v>
      </c>
      <c r="G29" s="22">
        <v>1146.7355882352931</v>
      </c>
      <c r="H29" s="22">
        <v>1252.9580645161286</v>
      </c>
      <c r="I29" s="22">
        <v>1374.472736842105</v>
      </c>
      <c r="J29" s="22">
        <v>1507.7184266211598</v>
      </c>
      <c r="K29" s="22">
        <v>1658.7145819397988</v>
      </c>
      <c r="L29" s="26"/>
    </row>
    <row r="30" spans="3:12" outlineLevel="1" x14ac:dyDescent="0.2">
      <c r="C30" s="35"/>
      <c r="E30" s="24"/>
      <c r="F30" s="22"/>
      <c r="G30" s="22"/>
      <c r="H30" s="22"/>
      <c r="I30" s="22"/>
      <c r="J30" s="22"/>
      <c r="K30" s="22"/>
      <c r="L30" s="26"/>
    </row>
    <row r="31" spans="3:12" outlineLevel="1" x14ac:dyDescent="0.2">
      <c r="C31" s="67" t="s">
        <v>30</v>
      </c>
      <c r="D31" s="63"/>
      <c r="E31" s="24"/>
      <c r="F31" s="22"/>
      <c r="G31" s="22"/>
      <c r="H31" s="22"/>
      <c r="I31" s="22"/>
      <c r="J31" s="22"/>
      <c r="K31" s="22"/>
      <c r="L31" s="26"/>
    </row>
    <row r="32" spans="3:12" outlineLevel="1" x14ac:dyDescent="0.2">
      <c r="D32" s="35" t="s">
        <v>31</v>
      </c>
      <c r="E32" s="24"/>
      <c r="F32" s="24">
        <v>654.68495999999959</v>
      </c>
      <c r="G32" s="24">
        <v>779.78019999999924</v>
      </c>
      <c r="H32" s="24">
        <v>852.01148387096737</v>
      </c>
      <c r="I32" s="24">
        <v>934.64146105263126</v>
      </c>
      <c r="J32" s="24">
        <v>1025.2485301023885</v>
      </c>
      <c r="K32" s="24">
        <v>1127.9259157190631</v>
      </c>
      <c r="L32" s="27"/>
    </row>
    <row r="33" spans="1:12" outlineLevel="1" x14ac:dyDescent="0.2">
      <c r="D33" s="35" t="s">
        <v>32</v>
      </c>
      <c r="E33" s="24"/>
      <c r="F33" s="24">
        <v>51.352000000000089</v>
      </c>
      <c r="G33" s="24">
        <v>192.85799999999995</v>
      </c>
      <c r="H33" s="24">
        <v>156.15200000000004</v>
      </c>
      <c r="I33" s="24">
        <v>158.31700000000001</v>
      </c>
      <c r="J33" s="24">
        <v>162.96299999999997</v>
      </c>
      <c r="K33" s="24">
        <v>160.33699999999999</v>
      </c>
      <c r="L33" s="27"/>
    </row>
    <row r="34" spans="1:12" outlineLevel="1" x14ac:dyDescent="0.2">
      <c r="D34" s="35" t="s">
        <v>83</v>
      </c>
      <c r="E34" s="24"/>
      <c r="F34" s="24">
        <v>188.90000000000055</v>
      </c>
      <c r="G34" s="24">
        <v>325</v>
      </c>
      <c r="H34" s="24">
        <v>340</v>
      </c>
      <c r="I34" s="24">
        <v>356</v>
      </c>
      <c r="J34" s="24">
        <v>373</v>
      </c>
      <c r="K34" s="24">
        <v>390</v>
      </c>
      <c r="L34" s="27"/>
    </row>
    <row r="35" spans="1:12" outlineLevel="1" x14ac:dyDescent="0.2">
      <c r="D35" s="35" t="s">
        <v>34</v>
      </c>
      <c r="E35" s="23"/>
      <c r="F35" s="23">
        <v>-5.4400000000000546</v>
      </c>
      <c r="G35" s="23">
        <v>133.63996260698855</v>
      </c>
      <c r="H35" s="23">
        <v>-40.531662300167682</v>
      </c>
      <c r="I35" s="23">
        <v>40.168419851779959</v>
      </c>
      <c r="J35" s="23">
        <v>49.585313619846033</v>
      </c>
      <c r="K35" s="23">
        <v>30.244208324233</v>
      </c>
      <c r="L35" s="27"/>
    </row>
    <row r="36" spans="1:12" outlineLevel="1" x14ac:dyDescent="0.2">
      <c r="C36" s="35" t="s">
        <v>35</v>
      </c>
      <c r="E36" s="24"/>
      <c r="F36" s="24"/>
      <c r="G36" s="24">
        <v>513.99823739301098</v>
      </c>
      <c r="H36" s="24">
        <v>708.69514617113509</v>
      </c>
      <c r="I36" s="24">
        <v>696.79004120085131</v>
      </c>
      <c r="J36" s="24">
        <v>765.62621648254242</v>
      </c>
      <c r="K36" s="24">
        <v>868.01870739483013</v>
      </c>
      <c r="L36" s="28"/>
    </row>
    <row r="37" spans="1:12" outlineLevel="1" x14ac:dyDescent="0.2">
      <c r="D37" s="35"/>
      <c r="E37" s="24"/>
      <c r="F37" s="24"/>
      <c r="G37" s="24"/>
      <c r="H37" s="24"/>
      <c r="I37" s="24"/>
      <c r="J37" s="24"/>
      <c r="K37" s="24"/>
      <c r="L37" s="27"/>
    </row>
    <row r="38" spans="1:12" outlineLevel="1" x14ac:dyDescent="0.2">
      <c r="C38" s="35" t="s">
        <v>84</v>
      </c>
      <c r="E38" s="24">
        <v>1422.5160000000001</v>
      </c>
      <c r="F38" s="24">
        <v>1560.0640000000001</v>
      </c>
      <c r="G38" s="24">
        <v>1692.2060000000004</v>
      </c>
      <c r="H38" s="24">
        <v>1876.0540000000003</v>
      </c>
      <c r="I38" s="24">
        <v>2073.7370000000001</v>
      </c>
      <c r="J38" s="24">
        <v>2283.7740000000003</v>
      </c>
      <c r="K38" s="24">
        <v>2513.4370000000004</v>
      </c>
      <c r="L38" s="27"/>
    </row>
    <row r="39" spans="1:12" outlineLevel="1" x14ac:dyDescent="0.2">
      <c r="D39" s="35" t="s">
        <v>85</v>
      </c>
      <c r="E39" s="18">
        <v>0.30356657369489182</v>
      </c>
      <c r="F39" s="18">
        <v>0.28948507171883991</v>
      </c>
      <c r="G39" s="18">
        <v>0.28021294916376893</v>
      </c>
      <c r="H39" s="18">
        <v>0.28369181914411012</v>
      </c>
      <c r="I39" s="18">
        <v>0.28742023562023561</v>
      </c>
      <c r="J39" s="18">
        <v>0.28934169517293806</v>
      </c>
      <c r="K39" s="18">
        <v>0.29107550665894621</v>
      </c>
      <c r="L39" s="27"/>
    </row>
    <row r="40" spans="1:12" outlineLevel="1" x14ac:dyDescent="0.2">
      <c r="C40" s="35" t="s">
        <v>36</v>
      </c>
      <c r="E40" s="24">
        <v>454.09800000000018</v>
      </c>
      <c r="F40" s="24">
        <v>448.65800000000013</v>
      </c>
      <c r="G40" s="24">
        <v>582.29796260698868</v>
      </c>
      <c r="H40" s="24">
        <v>541.76630030682099</v>
      </c>
      <c r="I40" s="24">
        <v>581.93472015860095</v>
      </c>
      <c r="J40" s="24">
        <v>631.52003377844699</v>
      </c>
      <c r="K40" s="24">
        <v>661.76424210267999</v>
      </c>
      <c r="L40" s="27"/>
    </row>
    <row r="41" spans="1:12" outlineLevel="1" x14ac:dyDescent="0.2">
      <c r="D41" s="35" t="s">
        <v>37</v>
      </c>
      <c r="E41" s="18">
        <v>9.6905042882964434E-2</v>
      </c>
      <c r="F41" s="18">
        <v>8.3252862259004315E-2</v>
      </c>
      <c r="G41" s="18">
        <v>9.6422911509685169E-2</v>
      </c>
      <c r="H41" s="18">
        <v>8.1924436761956904E-2</v>
      </c>
      <c r="I41" s="18">
        <v>8.0656232870214964E-2</v>
      </c>
      <c r="J41" s="18">
        <v>8.0010139842702013E-2</v>
      </c>
      <c r="K41" s="18">
        <v>7.6637433943564565E-2</v>
      </c>
      <c r="L41" s="27"/>
    </row>
    <row r="42" spans="1:12" outlineLevel="1" x14ac:dyDescent="0.2">
      <c r="D42" s="35"/>
      <c r="L42" s="27"/>
    </row>
    <row r="43" spans="1:12" x14ac:dyDescent="0.2">
      <c r="L43" s="27"/>
    </row>
    <row r="44" spans="1:12" ht="18" x14ac:dyDescent="0.2">
      <c r="A44" s="64"/>
      <c r="B44" s="64"/>
      <c r="C44" s="66" t="s">
        <v>39</v>
      </c>
      <c r="D44" s="64"/>
      <c r="E44" s="64"/>
      <c r="F44" s="64"/>
      <c r="G44" s="64"/>
      <c r="H44" s="64"/>
      <c r="I44" s="64"/>
      <c r="J44" s="64"/>
      <c r="K44" s="64"/>
      <c r="L44" s="27"/>
    </row>
    <row r="45" spans="1:12" outlineLevel="1" x14ac:dyDescent="0.2">
      <c r="L45" s="27"/>
    </row>
    <row r="46" spans="1:12" outlineLevel="1" x14ac:dyDescent="0.2">
      <c r="C46" s="2" t="s">
        <v>40</v>
      </c>
      <c r="K46" s="70">
        <f>E90</f>
        <v>7.6672101477422067E-2</v>
      </c>
      <c r="L46" s="27"/>
    </row>
    <row r="47" spans="1:12" outlineLevel="1" x14ac:dyDescent="0.2">
      <c r="L47" s="27"/>
    </row>
    <row r="48" spans="1:12" outlineLevel="1" x14ac:dyDescent="0.2">
      <c r="C48" s="67" t="s">
        <v>41</v>
      </c>
      <c r="D48" s="63"/>
      <c r="G48" s="71">
        <v>1</v>
      </c>
      <c r="H48" s="71">
        <v>2</v>
      </c>
      <c r="I48" s="71">
        <v>3</v>
      </c>
      <c r="J48" s="71">
        <v>4</v>
      </c>
      <c r="K48" s="71">
        <v>5</v>
      </c>
      <c r="L48" s="27"/>
    </row>
    <row r="49" spans="3:12" outlineLevel="1" x14ac:dyDescent="0.2">
      <c r="D49" s="2" t="s">
        <v>35</v>
      </c>
      <c r="G49" s="59">
        <f>G36</f>
        <v>513.99823739301098</v>
      </c>
      <c r="H49" s="59">
        <f>H36</f>
        <v>708.69514617113509</v>
      </c>
      <c r="I49" s="59">
        <f>I36</f>
        <v>696.79004120085131</v>
      </c>
      <c r="J49" s="59">
        <f>J36</f>
        <v>765.62621648254242</v>
      </c>
      <c r="K49" s="59">
        <f>K36</f>
        <v>868.01870739483013</v>
      </c>
      <c r="L49" s="27"/>
    </row>
    <row r="50" spans="3:12" outlineLevel="1" x14ac:dyDescent="0.2">
      <c r="D50" s="2" t="s">
        <v>42</v>
      </c>
      <c r="G50" s="59">
        <f>1/(1+$K$46)^G48</f>
        <v>0.92878788131297196</v>
      </c>
      <c r="H50" s="59">
        <f>1/(1+$K$46)^H48</f>
        <v>0.86264692847383928</v>
      </c>
      <c r="I50" s="59">
        <f>1/(1+$K$46)^I48</f>
        <v>0.80121601301835998</v>
      </c>
      <c r="J50" s="59">
        <f>1/(1+$K$46)^J48</f>
        <v>0.74415972320534929</v>
      </c>
      <c r="K50" s="59">
        <f>1/(1+$K$46)^K48</f>
        <v>0.69116653267434403</v>
      </c>
      <c r="L50" s="27"/>
    </row>
    <row r="51" spans="3:12" outlineLevel="1" x14ac:dyDescent="0.2">
      <c r="D51" s="2" t="s">
        <v>43</v>
      </c>
      <c r="G51" s="59">
        <f>G49*G50</f>
        <v>477.39533390685665</v>
      </c>
      <c r="H51" s="59">
        <f>H49*H50</f>
        <v>611.35369106884821</v>
      </c>
      <c r="I51" s="59">
        <f>I49*I50</f>
        <v>558.27933872184485</v>
      </c>
      <c r="J51" s="59">
        <f>J49*J50</f>
        <v>569.74819333640755</v>
      </c>
      <c r="K51" s="59">
        <f>K49*K50</f>
        <v>599.94548028655072</v>
      </c>
    </row>
    <row r="52" spans="3:12" outlineLevel="1" x14ac:dyDescent="0.2">
      <c r="D52" s="2" t="s">
        <v>44</v>
      </c>
      <c r="K52" s="59">
        <f>SUM(G51:K51)</f>
        <v>2816.7220373205078</v>
      </c>
    </row>
    <row r="53" spans="3:12" outlineLevel="1" x14ac:dyDescent="0.2"/>
    <row r="54" spans="3:12" outlineLevel="1" x14ac:dyDescent="0.2">
      <c r="C54" s="67" t="s">
        <v>45</v>
      </c>
      <c r="D54" s="63"/>
    </row>
    <row r="55" spans="3:12" outlineLevel="1" x14ac:dyDescent="0.2">
      <c r="D55" s="2" t="s">
        <v>46</v>
      </c>
      <c r="K55" s="115">
        <v>2.5000000000000001E-2</v>
      </c>
    </row>
    <row r="56" spans="3:12" outlineLevel="1" x14ac:dyDescent="0.2">
      <c r="D56" s="2" t="s">
        <v>47</v>
      </c>
      <c r="K56" s="59">
        <f>K49*(1+$K$55)/($K$46-$K$55)</f>
        <v>17218.559912227691</v>
      </c>
    </row>
    <row r="57" spans="3:12" outlineLevel="1" x14ac:dyDescent="0.2">
      <c r="D57" s="2" t="s">
        <v>42</v>
      </c>
      <c r="K57" s="59">
        <f>1/(1+$K$46)^K48</f>
        <v>0.69116653267434403</v>
      </c>
    </row>
    <row r="58" spans="3:12" outlineLevel="1" x14ac:dyDescent="0.2">
      <c r="D58" s="2" t="s">
        <v>48</v>
      </c>
      <c r="K58" s="59">
        <f>K56*K57</f>
        <v>11900.89235217987</v>
      </c>
    </row>
    <row r="59" spans="3:12" outlineLevel="1" x14ac:dyDescent="0.2"/>
    <row r="60" spans="3:12" outlineLevel="1" x14ac:dyDescent="0.2">
      <c r="C60" s="67" t="s">
        <v>49</v>
      </c>
      <c r="D60" s="63"/>
      <c r="K60" s="59"/>
    </row>
    <row r="61" spans="3:12" outlineLevel="1" x14ac:dyDescent="0.2">
      <c r="D61" s="2" t="s">
        <v>50</v>
      </c>
      <c r="K61" s="59">
        <f>K52+K58</f>
        <v>14717.614389500377</v>
      </c>
    </row>
    <row r="62" spans="3:12" outlineLevel="1" x14ac:dyDescent="0.2"/>
    <row r="63" spans="3:12" outlineLevel="1" x14ac:dyDescent="0.2">
      <c r="D63" s="2" t="s">
        <v>51</v>
      </c>
      <c r="K63" s="57">
        <f>'Exhibit 9'!F21</f>
        <v>1000</v>
      </c>
    </row>
    <row r="64" spans="3:12" outlineLevel="1" x14ac:dyDescent="0.2">
      <c r="D64" s="2" t="s">
        <v>52</v>
      </c>
      <c r="K64" s="59">
        <f>K61-K63</f>
        <v>13717.614389500377</v>
      </c>
    </row>
    <row r="65" spans="1:11" outlineLevel="1" x14ac:dyDescent="0.2">
      <c r="D65" s="2" t="s">
        <v>53</v>
      </c>
      <c r="K65" s="58">
        <f>'Exhibit 9'!F15</f>
        <v>275357</v>
      </c>
    </row>
    <row r="66" spans="1:11" outlineLevel="1" x14ac:dyDescent="0.2"/>
    <row r="67" spans="1:11" outlineLevel="1" x14ac:dyDescent="0.2">
      <c r="D67" s="2" t="s">
        <v>54</v>
      </c>
      <c r="K67" s="69">
        <f>K64*1000/K65</f>
        <v>49.817561890565258</v>
      </c>
    </row>
    <row r="68" spans="1:11" outlineLevel="1" x14ac:dyDescent="0.2"/>
    <row r="70" spans="1:11" ht="18" x14ac:dyDescent="0.2">
      <c r="A70" s="64"/>
      <c r="B70" s="64"/>
      <c r="C70" s="66" t="s">
        <v>86</v>
      </c>
      <c r="D70" s="64"/>
      <c r="E70" s="64"/>
      <c r="F70" s="64"/>
      <c r="G70" s="64"/>
      <c r="H70" s="64"/>
      <c r="I70" s="64"/>
      <c r="J70" s="64"/>
      <c r="K70" s="64"/>
    </row>
    <row r="71" spans="1:11" outlineLevel="1" x14ac:dyDescent="0.2"/>
    <row r="72" spans="1:11" outlineLevel="1" x14ac:dyDescent="0.2">
      <c r="C72" s="67" t="s">
        <v>87</v>
      </c>
      <c r="D72" s="63"/>
    </row>
    <row r="73" spans="1:11" outlineLevel="1" x14ac:dyDescent="0.2">
      <c r="D73" s="2" t="s">
        <v>51</v>
      </c>
      <c r="E73" s="57">
        <f>'Exhibit 9'!F21</f>
        <v>1000</v>
      </c>
      <c r="F73" s="15">
        <f>E73/$E$75</f>
        <v>5.9174041228530004E-2</v>
      </c>
      <c r="G73" s="143" t="s">
        <v>88</v>
      </c>
      <c r="H73" s="143"/>
    </row>
    <row r="74" spans="1:11" outlineLevel="1" x14ac:dyDescent="0.2">
      <c r="D74" s="2" t="s">
        <v>89</v>
      </c>
      <c r="E74" s="59">
        <f>'Comparables - Ex.10'!E26</f>
        <v>15899.302113539999</v>
      </c>
      <c r="F74" s="15">
        <f>E74/$E$75</f>
        <v>0.94082595877147013</v>
      </c>
      <c r="G74" s="143"/>
      <c r="H74" s="143"/>
    </row>
    <row r="75" spans="1:11" outlineLevel="1" x14ac:dyDescent="0.2">
      <c r="D75" s="2" t="s">
        <v>50</v>
      </c>
      <c r="E75" s="59">
        <f>E74+E73</f>
        <v>16899.302113539998</v>
      </c>
    </row>
    <row r="76" spans="1:11" outlineLevel="1" x14ac:dyDescent="0.2"/>
    <row r="77" spans="1:11" outlineLevel="1" x14ac:dyDescent="0.2">
      <c r="C77" s="67" t="s">
        <v>90</v>
      </c>
      <c r="D77" s="63"/>
    </row>
    <row r="78" spans="1:11" outlineLevel="1" x14ac:dyDescent="0.2">
      <c r="D78" s="2" t="s">
        <v>91</v>
      </c>
      <c r="E78" s="56">
        <f>'Exhibit 12'!D9</f>
        <v>6.3E-2</v>
      </c>
    </row>
    <row r="79" spans="1:11" outlineLevel="1" x14ac:dyDescent="0.2">
      <c r="D79" s="35" t="s">
        <v>38</v>
      </c>
      <c r="E79" s="29">
        <v>0.32</v>
      </c>
    </row>
    <row r="80" spans="1:11" outlineLevel="1" x14ac:dyDescent="0.2">
      <c r="D80" s="2" t="s">
        <v>92</v>
      </c>
      <c r="E80" s="56">
        <f>E78*(1-E79)</f>
        <v>4.2839999999999996E-2</v>
      </c>
    </row>
    <row r="81" spans="3:5" outlineLevel="1" x14ac:dyDescent="0.2">
      <c r="C81" s="67" t="s">
        <v>93</v>
      </c>
      <c r="D81" s="63"/>
    </row>
    <row r="82" spans="3:5" outlineLevel="1" x14ac:dyDescent="0.2">
      <c r="D82" s="2" t="s">
        <v>94</v>
      </c>
      <c r="E82" s="56">
        <f>'Exhibit 12'!D25</f>
        <v>3.6799999999999999E-2</v>
      </c>
    </row>
    <row r="83" spans="3:5" outlineLevel="1" x14ac:dyDescent="0.2">
      <c r="D83" s="2" t="s">
        <v>95</v>
      </c>
      <c r="E83" s="29">
        <f>'Exhibit 12'!E32</f>
        <v>0.06</v>
      </c>
    </row>
    <row r="84" spans="3:5" outlineLevel="1" x14ac:dyDescent="0.2">
      <c r="D84" s="2" t="s">
        <v>96</v>
      </c>
      <c r="E84" s="61">
        <f>'Comparables - Ex.10'!J26</f>
        <v>0.7</v>
      </c>
    </row>
    <row r="85" spans="3:5" outlineLevel="1" x14ac:dyDescent="0.2">
      <c r="D85" s="2" t="s">
        <v>97</v>
      </c>
      <c r="E85" s="30">
        <f>E82+E83*E84</f>
        <v>7.8799999999999995E-2</v>
      </c>
    </row>
    <row r="86" spans="3:5" outlineLevel="1" x14ac:dyDescent="0.2"/>
    <row r="87" spans="3:5" outlineLevel="1" x14ac:dyDescent="0.2">
      <c r="C87" s="67" t="s">
        <v>98</v>
      </c>
      <c r="D87" s="63"/>
    </row>
    <row r="88" spans="3:5" outlineLevel="1" x14ac:dyDescent="0.2">
      <c r="D88" s="2" t="s">
        <v>99</v>
      </c>
      <c r="E88" s="30">
        <f>F73*E80</f>
        <v>2.5350159262302252E-3</v>
      </c>
    </row>
    <row r="89" spans="3:5" outlineLevel="1" x14ac:dyDescent="0.2">
      <c r="D89" s="2" t="s">
        <v>100</v>
      </c>
      <c r="E89" s="30">
        <f>F74*E85</f>
        <v>7.4137085551191848E-2</v>
      </c>
    </row>
    <row r="90" spans="3:5" outlineLevel="1" x14ac:dyDescent="0.2">
      <c r="D90" s="2" t="s">
        <v>40</v>
      </c>
      <c r="E90" s="115">
        <f>E88+E89</f>
        <v>7.6672101477422067E-2</v>
      </c>
    </row>
    <row r="91" spans="3:5" outlineLevel="1" x14ac:dyDescent="0.2"/>
  </sheetData>
  <mergeCells count="5">
    <mergeCell ref="D2:K2"/>
    <mergeCell ref="D4:K4"/>
    <mergeCell ref="D5:K5"/>
    <mergeCell ref="D3:K3"/>
    <mergeCell ref="G73:H7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D5DC1-BF03-4031-9ECC-67A9CE6DB88F}">
  <dimension ref="A2:M62"/>
  <sheetViews>
    <sheetView showGridLines="0" zoomScaleNormal="100" workbookViewId="0">
      <pane ySplit="6" topLeftCell="A23" activePane="bottomLeft" state="frozen"/>
      <selection pane="bottomLeft" activeCell="E65" sqref="E65"/>
    </sheetView>
  </sheetViews>
  <sheetFormatPr baseColWidth="10" defaultColWidth="9" defaultRowHeight="16" outlineLevelRow="1" x14ac:dyDescent="0.2"/>
  <cols>
    <col min="1" max="3" width="2.6640625" style="2" customWidth="1"/>
    <col min="4" max="4" width="46" style="2" customWidth="1"/>
    <col min="5" max="5" width="12.5" style="2" customWidth="1"/>
    <col min="6" max="6" width="15.1640625" style="2" customWidth="1"/>
    <col min="7" max="12" width="12.5" style="2" customWidth="1"/>
    <col min="13" max="13" width="6.6640625" style="2" bestFit="1" customWidth="1"/>
    <col min="14" max="256" width="11" style="2" customWidth="1"/>
    <col min="257" max="16384" width="9" style="2"/>
  </cols>
  <sheetData>
    <row r="2" spans="1:13" ht="18" x14ac:dyDescent="0.2">
      <c r="D2" s="140" t="s">
        <v>101</v>
      </c>
      <c r="E2" s="140"/>
      <c r="F2" s="140"/>
      <c r="G2" s="140"/>
      <c r="H2" s="140"/>
      <c r="I2" s="140"/>
      <c r="J2" s="140"/>
      <c r="K2" s="140"/>
      <c r="L2" s="140"/>
      <c r="M2" s="1"/>
    </row>
    <row r="3" spans="1:13" ht="20" x14ac:dyDescent="0.2">
      <c r="D3" s="139" t="s">
        <v>0</v>
      </c>
      <c r="E3" s="139"/>
      <c r="F3" s="139"/>
      <c r="G3" s="139"/>
      <c r="H3" s="139"/>
      <c r="I3" s="139"/>
      <c r="J3" s="139"/>
      <c r="K3" s="139"/>
      <c r="L3" s="139"/>
      <c r="M3" s="3"/>
    </row>
    <row r="4" spans="1:13" x14ac:dyDescent="0.2">
      <c r="D4" s="141" t="s">
        <v>102</v>
      </c>
      <c r="E4" s="141"/>
      <c r="F4" s="141"/>
      <c r="G4" s="141"/>
      <c r="H4" s="141"/>
      <c r="I4" s="141"/>
      <c r="J4" s="141"/>
      <c r="K4" s="141"/>
      <c r="L4" s="141"/>
      <c r="M4" s="4"/>
    </row>
    <row r="5" spans="1:13" x14ac:dyDescent="0.2">
      <c r="D5" s="140" t="s">
        <v>2</v>
      </c>
      <c r="E5" s="140"/>
      <c r="F5" s="140"/>
      <c r="G5" s="140"/>
      <c r="H5" s="140"/>
      <c r="I5" s="140"/>
      <c r="J5" s="140"/>
      <c r="K5" s="140"/>
      <c r="L5" s="140"/>
      <c r="M5" s="4"/>
    </row>
    <row r="6" spans="1:13" x14ac:dyDescent="0.2">
      <c r="D6" s="53"/>
      <c r="E6" s="53"/>
      <c r="F6" s="53"/>
      <c r="G6" s="53"/>
      <c r="H6" s="53"/>
      <c r="I6" s="53"/>
      <c r="J6" s="53"/>
      <c r="K6" s="53"/>
      <c r="L6" s="53"/>
      <c r="M6" s="4"/>
    </row>
    <row r="7" spans="1:13" x14ac:dyDescent="0.2">
      <c r="D7" s="53"/>
      <c r="E7" s="53"/>
      <c r="F7" s="53"/>
      <c r="G7" s="53"/>
      <c r="H7" s="53"/>
      <c r="I7" s="53"/>
      <c r="J7" s="53"/>
      <c r="K7" s="53"/>
      <c r="L7" s="53"/>
      <c r="M7" s="4"/>
    </row>
    <row r="8" spans="1:13" ht="18" x14ac:dyDescent="0.2">
      <c r="A8" s="64"/>
      <c r="B8" s="64"/>
      <c r="C8" s="64"/>
      <c r="D8" s="66" t="s">
        <v>103</v>
      </c>
      <c r="E8" s="64"/>
      <c r="F8" s="64"/>
      <c r="G8" s="64"/>
      <c r="H8" s="64"/>
      <c r="I8" s="64"/>
      <c r="J8" s="64"/>
      <c r="K8" s="64"/>
      <c r="L8" s="64"/>
    </row>
    <row r="9" spans="1:13" ht="18" outlineLevel="1" x14ac:dyDescent="0.2">
      <c r="D9" s="52"/>
    </row>
    <row r="10" spans="1:13" s="5" customFormat="1" ht="34" outlineLevel="1" x14ac:dyDescent="0.2">
      <c r="E10" s="6" t="s">
        <v>23</v>
      </c>
      <c r="F10" s="6" t="s">
        <v>104</v>
      </c>
      <c r="G10" s="6" t="s">
        <v>105</v>
      </c>
      <c r="H10" s="7" t="s">
        <v>106</v>
      </c>
      <c r="I10" s="6" t="s">
        <v>107</v>
      </c>
      <c r="J10" s="6" t="s">
        <v>108</v>
      </c>
      <c r="K10" s="6" t="s">
        <v>109</v>
      </c>
      <c r="L10" s="7" t="s">
        <v>110</v>
      </c>
    </row>
    <row r="11" spans="1:13" outlineLevel="1" x14ac:dyDescent="0.2">
      <c r="D11" s="75" t="s">
        <v>111</v>
      </c>
      <c r="E11" s="36">
        <v>15855</v>
      </c>
      <c r="F11" s="37">
        <v>0.13169347209082308</v>
      </c>
      <c r="G11" s="36">
        <v>1567</v>
      </c>
      <c r="H11" s="38">
        <v>2088</v>
      </c>
      <c r="I11" s="36">
        <v>2383</v>
      </c>
      <c r="J11" s="36">
        <v>5171</v>
      </c>
      <c r="K11" s="36">
        <v>9178</v>
      </c>
      <c r="L11" s="36">
        <v>36460</v>
      </c>
    </row>
    <row r="12" spans="1:13" outlineLevel="1" x14ac:dyDescent="0.2">
      <c r="D12" s="75" t="s">
        <v>112</v>
      </c>
      <c r="E12" s="36">
        <v>37000</v>
      </c>
      <c r="F12" s="37">
        <v>0.16500000000000001</v>
      </c>
      <c r="G12" s="36">
        <v>2850</v>
      </c>
      <c r="H12" s="38">
        <v>6105</v>
      </c>
      <c r="I12" s="36">
        <v>10600</v>
      </c>
      <c r="J12" s="36">
        <v>9544</v>
      </c>
      <c r="K12" s="36">
        <v>10194</v>
      </c>
      <c r="L12" s="36">
        <v>90000</v>
      </c>
    </row>
    <row r="13" spans="1:13" outlineLevel="1" x14ac:dyDescent="0.2">
      <c r="D13" s="75" t="s">
        <v>113</v>
      </c>
      <c r="E13" s="36">
        <v>765</v>
      </c>
      <c r="F13" s="37">
        <v>0.09</v>
      </c>
      <c r="G13" s="36">
        <v>25</v>
      </c>
      <c r="H13" s="38">
        <v>68.849999999999994</v>
      </c>
      <c r="I13" s="36">
        <v>50</v>
      </c>
      <c r="J13" s="36">
        <v>141.80000000000001</v>
      </c>
      <c r="K13" s="36">
        <v>76.5</v>
      </c>
      <c r="L13" s="36">
        <v>4800</v>
      </c>
    </row>
    <row r="14" spans="1:13" outlineLevel="1" x14ac:dyDescent="0.2">
      <c r="D14" s="75" t="s">
        <v>114</v>
      </c>
      <c r="E14" s="36">
        <v>4947</v>
      </c>
      <c r="F14" s="37">
        <v>0.24</v>
      </c>
      <c r="G14" s="36">
        <v>480</v>
      </c>
      <c r="H14" s="38">
        <v>1187.28</v>
      </c>
      <c r="I14" s="36">
        <v>1280</v>
      </c>
      <c r="J14" s="36">
        <v>1426.6</v>
      </c>
      <c r="K14" s="36">
        <v>1618.8</v>
      </c>
      <c r="L14" s="36">
        <v>12800</v>
      </c>
    </row>
    <row r="15" spans="1:13" outlineLevel="1" x14ac:dyDescent="0.2">
      <c r="D15" s="75" t="s">
        <v>115</v>
      </c>
      <c r="E15" s="36">
        <v>493</v>
      </c>
      <c r="F15" s="37">
        <v>0.2</v>
      </c>
      <c r="G15" s="36">
        <v>55</v>
      </c>
      <c r="H15" s="38">
        <v>98.600000000000009</v>
      </c>
      <c r="I15" s="36">
        <v>0</v>
      </c>
      <c r="J15" s="36">
        <v>232.8</v>
      </c>
      <c r="K15" s="36">
        <v>76.599999999999994</v>
      </c>
      <c r="L15" s="36">
        <v>1950</v>
      </c>
    </row>
    <row r="16" spans="1:13" outlineLevel="1" x14ac:dyDescent="0.2">
      <c r="D16" s="75" t="s">
        <v>116</v>
      </c>
      <c r="E16" s="36">
        <v>5389.1</v>
      </c>
      <c r="F16" s="37">
        <v>0.17899999999999999</v>
      </c>
      <c r="G16" s="36">
        <v>632</v>
      </c>
      <c r="H16" s="38">
        <v>964.64890000000003</v>
      </c>
      <c r="I16" s="36">
        <v>1000</v>
      </c>
      <c r="J16" s="36">
        <v>1578.5</v>
      </c>
      <c r="K16" s="36">
        <v>1189.0999999999999</v>
      </c>
      <c r="L16" s="36">
        <v>16400</v>
      </c>
    </row>
    <row r="17" spans="1:12" outlineLevel="1" x14ac:dyDescent="0.2">
      <c r="D17" s="75" t="s">
        <v>117</v>
      </c>
      <c r="E17" s="36">
        <v>11640</v>
      </c>
      <c r="F17" s="37">
        <v>0.20799999999999999</v>
      </c>
      <c r="G17" s="36">
        <v>1144</v>
      </c>
      <c r="H17" s="38">
        <v>2421.12</v>
      </c>
      <c r="I17" s="36">
        <v>3599.1</v>
      </c>
      <c r="J17" s="36">
        <v>3843.9</v>
      </c>
      <c r="K17" s="36">
        <v>6223.1</v>
      </c>
      <c r="L17" s="36">
        <v>28500</v>
      </c>
    </row>
    <row r="18" spans="1:12" outlineLevel="1" x14ac:dyDescent="0.2">
      <c r="D18" s="75" t="s">
        <v>118</v>
      </c>
      <c r="E18" s="39">
        <v>25000</v>
      </c>
      <c r="F18" s="40" t="s">
        <v>119</v>
      </c>
      <c r="G18" s="40" t="s">
        <v>119</v>
      </c>
      <c r="H18" s="40" t="s">
        <v>119</v>
      </c>
      <c r="I18" s="40" t="s">
        <v>119</v>
      </c>
      <c r="J18" s="40" t="s">
        <v>119</v>
      </c>
      <c r="K18" s="40" t="s">
        <v>119</v>
      </c>
      <c r="L18" s="39">
        <v>48000</v>
      </c>
    </row>
    <row r="19" spans="1:12" outlineLevel="1" x14ac:dyDescent="0.2">
      <c r="D19" s="35"/>
      <c r="E19" s="8"/>
      <c r="L19" s="8"/>
    </row>
    <row r="20" spans="1:12" ht="34" outlineLevel="1" x14ac:dyDescent="0.2">
      <c r="D20" s="35"/>
      <c r="E20" s="6" t="s">
        <v>120</v>
      </c>
      <c r="F20" s="7" t="s">
        <v>121</v>
      </c>
      <c r="G20" s="6" t="s">
        <v>122</v>
      </c>
      <c r="H20" s="7" t="s">
        <v>123</v>
      </c>
      <c r="I20" s="6" t="s">
        <v>124</v>
      </c>
      <c r="J20" s="7" t="s">
        <v>96</v>
      </c>
      <c r="K20" s="6" t="s">
        <v>125</v>
      </c>
      <c r="L20" s="6" t="s">
        <v>126</v>
      </c>
    </row>
    <row r="21" spans="1:12" outlineLevel="1" x14ac:dyDescent="0.2">
      <c r="D21" s="75" t="s">
        <v>111</v>
      </c>
      <c r="E21" s="8">
        <v>26046.15</v>
      </c>
      <c r="F21" s="8">
        <v>2109000000</v>
      </c>
      <c r="G21" s="10">
        <v>12.35</v>
      </c>
      <c r="H21" s="12">
        <v>16.621665603063178</v>
      </c>
      <c r="I21" s="11" t="s">
        <v>127</v>
      </c>
      <c r="J21" s="10">
        <v>0.95</v>
      </c>
      <c r="K21" s="9">
        <v>2.1000000000000001E-2</v>
      </c>
      <c r="L21" s="9">
        <v>0.3</v>
      </c>
    </row>
    <row r="22" spans="1:12" outlineLevel="1" x14ac:dyDescent="0.2">
      <c r="D22" s="75" t="s">
        <v>112</v>
      </c>
      <c r="E22" s="8">
        <v>46230.336000000003</v>
      </c>
      <c r="F22" s="8">
        <v>1547200000</v>
      </c>
      <c r="G22" s="10">
        <v>29.88</v>
      </c>
      <c r="H22" s="12">
        <v>16.221170526315792</v>
      </c>
      <c r="I22" s="11" t="s">
        <v>128</v>
      </c>
      <c r="J22" s="10">
        <v>0.75</v>
      </c>
      <c r="K22" s="9">
        <v>3.5999999999999997E-2</v>
      </c>
      <c r="L22" s="9">
        <v>0.35499999999999998</v>
      </c>
    </row>
    <row r="23" spans="1:12" outlineLevel="1" x14ac:dyDescent="0.2">
      <c r="D23" s="75" t="s">
        <v>113</v>
      </c>
      <c r="E23" s="8">
        <v>594.44416289999992</v>
      </c>
      <c r="F23" s="8">
        <v>31204418</v>
      </c>
      <c r="G23" s="10">
        <v>19.05</v>
      </c>
      <c r="H23" s="12">
        <v>23.777766515999996</v>
      </c>
      <c r="I23" s="11" t="s">
        <v>119</v>
      </c>
      <c r="J23" s="10">
        <v>0.9</v>
      </c>
      <c r="K23" s="9">
        <v>3.4000000000000002E-2</v>
      </c>
      <c r="L23" s="9">
        <v>0.37</v>
      </c>
    </row>
    <row r="24" spans="1:12" outlineLevel="1" x14ac:dyDescent="0.2">
      <c r="D24" s="75" t="s">
        <v>114</v>
      </c>
      <c r="E24" s="8">
        <v>8144.2711965899989</v>
      </c>
      <c r="F24" s="8">
        <v>227049657</v>
      </c>
      <c r="G24" s="10">
        <v>35.869999999999997</v>
      </c>
      <c r="H24" s="12">
        <v>16.967231659562497</v>
      </c>
      <c r="I24" s="11" t="s">
        <v>127</v>
      </c>
      <c r="J24" s="10">
        <v>0.7</v>
      </c>
      <c r="K24" s="9">
        <v>3.3000000000000002E-2</v>
      </c>
      <c r="L24" s="9">
        <v>0.36</v>
      </c>
    </row>
    <row r="25" spans="1:12" outlineLevel="1" x14ac:dyDescent="0.2">
      <c r="D25" s="75" t="s">
        <v>115</v>
      </c>
      <c r="E25" s="8">
        <v>1368.0341618999998</v>
      </c>
      <c r="F25" s="8">
        <v>54941131</v>
      </c>
      <c r="G25" s="10">
        <v>24.9</v>
      </c>
      <c r="H25" s="12">
        <v>24.873348398181815</v>
      </c>
      <c r="I25" s="11" t="s">
        <v>119</v>
      </c>
      <c r="J25" s="10">
        <v>0.85</v>
      </c>
      <c r="K25" s="9">
        <v>1.2999999999999999E-2</v>
      </c>
      <c r="L25" s="9">
        <v>0.33</v>
      </c>
    </row>
    <row r="26" spans="1:12" outlineLevel="1" x14ac:dyDescent="0.2">
      <c r="D26" s="75" t="s">
        <v>116</v>
      </c>
      <c r="E26" s="8">
        <v>15899.302113539999</v>
      </c>
      <c r="F26" s="8">
        <v>275742319</v>
      </c>
      <c r="G26" s="10">
        <v>57.66</v>
      </c>
      <c r="H26" s="12">
        <v>25.157123597373417</v>
      </c>
      <c r="I26" s="11" t="s">
        <v>129</v>
      </c>
      <c r="J26" s="10">
        <v>0.7</v>
      </c>
      <c r="K26" s="9">
        <v>2.1999999999999999E-2</v>
      </c>
      <c r="L26" s="9">
        <v>0.32</v>
      </c>
    </row>
    <row r="27" spans="1:12" outlineLevel="1" x14ac:dyDescent="0.2">
      <c r="D27" s="75" t="s">
        <v>117</v>
      </c>
      <c r="E27" s="8">
        <v>17760.96</v>
      </c>
      <c r="F27" s="8">
        <v>336000000</v>
      </c>
      <c r="G27" s="10">
        <v>52.86</v>
      </c>
      <c r="H27" s="12">
        <v>15.525314685314685</v>
      </c>
      <c r="I27" s="11" t="s">
        <v>129</v>
      </c>
      <c r="J27" s="10">
        <v>0.65</v>
      </c>
      <c r="K27" s="9">
        <v>3.1E-2</v>
      </c>
      <c r="L27" s="9">
        <v>0.34300000000000003</v>
      </c>
    </row>
    <row r="28" spans="1:12" outlineLevel="1" x14ac:dyDescent="0.2"/>
    <row r="29" spans="1:12" s="13" customFormat="1" outlineLevel="1" x14ac:dyDescent="0.2">
      <c r="D29" s="147" t="s">
        <v>130</v>
      </c>
      <c r="E29" s="147"/>
      <c r="F29" s="147"/>
      <c r="G29" s="147"/>
      <c r="H29" s="147"/>
      <c r="I29" s="147"/>
      <c r="J29" s="147"/>
      <c r="K29" s="147"/>
      <c r="L29" s="147"/>
    </row>
    <row r="30" spans="1:12" s="13" customFormat="1" x14ac:dyDescent="0.2">
      <c r="D30" s="54"/>
      <c r="E30" s="54"/>
      <c r="F30" s="54"/>
      <c r="G30" s="54"/>
      <c r="H30" s="54"/>
      <c r="I30" s="54"/>
      <c r="J30" s="54"/>
      <c r="K30" s="54"/>
      <c r="L30" s="54"/>
    </row>
    <row r="31" spans="1:12" s="13" customFormat="1" ht="18" x14ac:dyDescent="0.2">
      <c r="A31" s="72"/>
      <c r="B31" s="72"/>
      <c r="C31" s="72"/>
      <c r="D31" s="73" t="s">
        <v>131</v>
      </c>
      <c r="E31" s="74"/>
      <c r="F31" s="74"/>
      <c r="G31" s="74"/>
      <c r="H31" s="74"/>
      <c r="I31" s="74"/>
      <c r="J31" s="74"/>
      <c r="K31" s="74"/>
      <c r="L31" s="74"/>
    </row>
    <row r="32" spans="1:12" outlineLevel="1" x14ac:dyDescent="0.2"/>
    <row r="33" spans="1:12" ht="51" customHeight="1" outlineLevel="1" x14ac:dyDescent="0.2">
      <c r="D33" s="144" t="s">
        <v>132</v>
      </c>
      <c r="E33" s="145"/>
      <c r="F33" s="145"/>
      <c r="G33" s="145"/>
      <c r="H33" s="145"/>
      <c r="I33" s="145"/>
      <c r="J33" s="145"/>
      <c r="K33" s="145"/>
      <c r="L33" s="145"/>
    </row>
    <row r="34" spans="1:12" ht="69" customHeight="1" outlineLevel="1" x14ac:dyDescent="0.2">
      <c r="D34" s="148" t="s">
        <v>133</v>
      </c>
      <c r="E34" s="148"/>
      <c r="F34" s="148"/>
      <c r="G34" s="148"/>
      <c r="H34" s="148"/>
      <c r="I34" s="148"/>
      <c r="J34" s="148"/>
      <c r="K34" s="148"/>
      <c r="L34" s="148"/>
    </row>
    <row r="35" spans="1:12" ht="68.25" customHeight="1" outlineLevel="1" x14ac:dyDescent="0.2">
      <c r="D35" s="148" t="s">
        <v>134</v>
      </c>
      <c r="E35" s="148"/>
      <c r="F35" s="148"/>
      <c r="G35" s="148"/>
      <c r="H35" s="148"/>
      <c r="I35" s="148"/>
      <c r="J35" s="148"/>
      <c r="K35" s="148"/>
      <c r="L35" s="148"/>
    </row>
    <row r="36" spans="1:12" ht="69" customHeight="1" outlineLevel="1" x14ac:dyDescent="0.2">
      <c r="D36" s="144" t="s">
        <v>135</v>
      </c>
      <c r="E36" s="145"/>
      <c r="F36" s="145"/>
      <c r="G36" s="145"/>
      <c r="H36" s="145"/>
      <c r="I36" s="145"/>
      <c r="J36" s="145"/>
      <c r="K36" s="145"/>
      <c r="L36" s="145"/>
    </row>
    <row r="37" spans="1:12" ht="54.75" customHeight="1" outlineLevel="1" x14ac:dyDescent="0.2">
      <c r="D37" s="144" t="s">
        <v>136</v>
      </c>
      <c r="E37" s="145"/>
      <c r="F37" s="145"/>
      <c r="G37" s="145"/>
      <c r="H37" s="145"/>
      <c r="I37" s="145"/>
      <c r="J37" s="145"/>
      <c r="K37" s="145"/>
      <c r="L37" s="145"/>
    </row>
    <row r="38" spans="1:12" ht="62.25" customHeight="1" outlineLevel="1" x14ac:dyDescent="0.2">
      <c r="D38" s="144" t="s">
        <v>137</v>
      </c>
      <c r="E38" s="145"/>
      <c r="F38" s="145"/>
      <c r="G38" s="145"/>
      <c r="H38" s="145"/>
      <c r="I38" s="145"/>
      <c r="J38" s="145"/>
      <c r="K38" s="145"/>
      <c r="L38" s="145"/>
    </row>
    <row r="39" spans="1:12" outlineLevel="1" x14ac:dyDescent="0.2"/>
    <row r="40" spans="1:12" outlineLevel="1" x14ac:dyDescent="0.2">
      <c r="D40" s="146" t="s">
        <v>138</v>
      </c>
      <c r="E40" s="146"/>
      <c r="F40" s="146"/>
      <c r="G40" s="146"/>
      <c r="H40" s="146"/>
      <c r="I40" s="146"/>
      <c r="J40" s="146"/>
      <c r="K40" s="146"/>
      <c r="L40" s="146"/>
    </row>
    <row r="42" spans="1:12" ht="18" x14ac:dyDescent="0.2">
      <c r="A42" s="64"/>
      <c r="B42" s="64"/>
      <c r="C42" s="64"/>
      <c r="D42" s="66" t="s">
        <v>139</v>
      </c>
      <c r="E42" s="64"/>
      <c r="F42" s="64"/>
      <c r="G42" s="64"/>
      <c r="H42" s="64"/>
      <c r="I42" s="64"/>
      <c r="J42" s="64"/>
      <c r="K42" s="64"/>
      <c r="L42" s="64"/>
    </row>
    <row r="43" spans="1:12" outlineLevel="1" x14ac:dyDescent="0.2"/>
    <row r="44" spans="1:12" ht="35" customHeight="1" outlineLevel="1" x14ac:dyDescent="0.2">
      <c r="C44" s="94" t="s">
        <v>140</v>
      </c>
      <c r="D44" s="63"/>
      <c r="E44" s="85" t="s">
        <v>141</v>
      </c>
      <c r="F44" s="85" t="s">
        <v>142</v>
      </c>
      <c r="G44" s="85" t="s">
        <v>143</v>
      </c>
      <c r="H44" s="85" t="s">
        <v>106</v>
      </c>
      <c r="I44" s="85" t="s">
        <v>110</v>
      </c>
    </row>
    <row r="45" spans="1:12" outlineLevel="1" x14ac:dyDescent="0.2">
      <c r="D45" s="75" t="s">
        <v>111</v>
      </c>
      <c r="E45" s="76">
        <f>E21+I11</f>
        <v>28429.15</v>
      </c>
      <c r="F45" s="77">
        <f>H21</f>
        <v>16.621665603063178</v>
      </c>
      <c r="G45" s="78">
        <f>E45/E11</f>
        <v>1.7930715862503943</v>
      </c>
      <c r="H45" s="78">
        <f>E45/H11</f>
        <v>13.615493295019158</v>
      </c>
      <c r="I45" s="78">
        <f>E45/L11</f>
        <v>0.77973532638507959</v>
      </c>
    </row>
    <row r="46" spans="1:12" outlineLevel="1" x14ac:dyDescent="0.2">
      <c r="D46" s="75" t="s">
        <v>112</v>
      </c>
      <c r="E46" s="76">
        <f>E22+I12</f>
        <v>56830.336000000003</v>
      </c>
      <c r="F46" s="77">
        <f>H22</f>
        <v>16.221170526315792</v>
      </c>
      <c r="G46" s="78">
        <f>E46/E12</f>
        <v>1.535955027027027</v>
      </c>
      <c r="H46" s="78">
        <f>E46/H12</f>
        <v>9.3088183456183469</v>
      </c>
      <c r="I46" s="78">
        <f>E46/L12</f>
        <v>0.63144817777777784</v>
      </c>
    </row>
    <row r="47" spans="1:12" outlineLevel="1" x14ac:dyDescent="0.2">
      <c r="D47" s="75" t="s">
        <v>113</v>
      </c>
      <c r="E47" s="76">
        <f>E23+I13</f>
        <v>644.44416289999992</v>
      </c>
      <c r="F47" s="77">
        <f>H23</f>
        <v>23.777766515999996</v>
      </c>
      <c r="G47" s="78">
        <f>E47/E13</f>
        <v>0.84241067045751628</v>
      </c>
      <c r="H47" s="78">
        <f>E47/H13</f>
        <v>9.3601185606390693</v>
      </c>
      <c r="I47" s="78">
        <f>E47/L13</f>
        <v>0.13425920060416666</v>
      </c>
    </row>
    <row r="48" spans="1:12" outlineLevel="1" x14ac:dyDescent="0.2">
      <c r="D48" s="75" t="s">
        <v>114</v>
      </c>
      <c r="E48" s="76">
        <f>E24+I14</f>
        <v>9424.271196589998</v>
      </c>
      <c r="F48" s="77">
        <f>H24</f>
        <v>16.967231659562497</v>
      </c>
      <c r="G48" s="78">
        <f>E48/E14</f>
        <v>1.9050477454194457</v>
      </c>
      <c r="H48" s="78">
        <f>E48/H14</f>
        <v>7.9376989392476904</v>
      </c>
      <c r="I48" s="78">
        <f>E48/L14</f>
        <v>0.73627118723359364</v>
      </c>
    </row>
    <row r="49" spans="3:9" outlineLevel="1" x14ac:dyDescent="0.2">
      <c r="D49" s="75" t="s">
        <v>115</v>
      </c>
      <c r="E49" s="76">
        <f>E25+I15</f>
        <v>1368.0341618999998</v>
      </c>
      <c r="F49" s="77">
        <f>H25</f>
        <v>24.873348398181815</v>
      </c>
      <c r="G49" s="78">
        <f>E49/E15</f>
        <v>2.7749171640973627</v>
      </c>
      <c r="H49" s="78">
        <f>E49/H15</f>
        <v>13.874585820486812</v>
      </c>
      <c r="I49" s="78">
        <f>E49/L15</f>
        <v>0.70155598046153833</v>
      </c>
    </row>
    <row r="50" spans="3:9" outlineLevel="1" x14ac:dyDescent="0.2">
      <c r="D50" s="75" t="s">
        <v>117</v>
      </c>
      <c r="E50" s="76">
        <f>E27+I17</f>
        <v>21360.059999999998</v>
      </c>
      <c r="F50" s="77">
        <f>H27</f>
        <v>15.525314685314685</v>
      </c>
      <c r="G50" s="78">
        <f>E50/E17</f>
        <v>1.8350567010309276</v>
      </c>
      <c r="H50" s="78">
        <f>E50/H17</f>
        <v>8.822387985725614</v>
      </c>
      <c r="I50" s="78">
        <f>E50/L17</f>
        <v>0.7494757894736841</v>
      </c>
    </row>
    <row r="51" spans="3:9" outlineLevel="1" x14ac:dyDescent="0.2"/>
    <row r="52" spans="3:9" outlineLevel="1" x14ac:dyDescent="0.2">
      <c r="C52" s="35" t="s">
        <v>144</v>
      </c>
      <c r="E52" s="81">
        <f>AVERAGE(E45:E50)</f>
        <v>19676.049253565001</v>
      </c>
      <c r="F52" s="82">
        <f>AVERAGE(F45:F50)</f>
        <v>18.99774956473966</v>
      </c>
      <c r="G52" s="83">
        <f>AVERAGE(G45:G50)</f>
        <v>1.7810764823804457</v>
      </c>
      <c r="H52" s="83">
        <f>AVERAGE(H45:H50)</f>
        <v>10.486517157789448</v>
      </c>
      <c r="I52" s="84">
        <f>AVERAGE(I45:I50)</f>
        <v>0.62212427698930683</v>
      </c>
    </row>
    <row r="53" spans="3:9" outlineLevel="1" x14ac:dyDescent="0.2">
      <c r="G53" s="78"/>
    </row>
    <row r="54" spans="3:9" outlineLevel="1" x14ac:dyDescent="0.2">
      <c r="C54" s="62"/>
      <c r="D54" s="62" t="s">
        <v>145</v>
      </c>
      <c r="E54" s="62"/>
      <c r="F54" s="86">
        <f>G17</f>
        <v>1144</v>
      </c>
      <c r="G54" s="86">
        <f>E16</f>
        <v>5389.1</v>
      </c>
      <c r="H54" s="87">
        <f>H16</f>
        <v>964.64890000000003</v>
      </c>
      <c r="I54" s="86">
        <f>L16</f>
        <v>16400</v>
      </c>
    </row>
    <row r="55" spans="3:9" outlineLevel="1" x14ac:dyDescent="0.2"/>
    <row r="56" spans="3:9" outlineLevel="1" x14ac:dyDescent="0.2">
      <c r="C56" s="67" t="s">
        <v>146</v>
      </c>
      <c r="D56" s="63"/>
    </row>
    <row r="57" spans="3:9" outlineLevel="1" x14ac:dyDescent="0.2">
      <c r="D57" s="2" t="s">
        <v>147</v>
      </c>
      <c r="F57" s="88">
        <f>F52*F54+I16</f>
        <v>22733.425502062171</v>
      </c>
      <c r="G57" s="89">
        <f>G52*G54</f>
        <v>9598.3992711964602</v>
      </c>
      <c r="H57" s="89">
        <f>H52*H54</f>
        <v>10115.807241092718</v>
      </c>
      <c r="I57" s="90">
        <f>I52*I54</f>
        <v>10202.838142624632</v>
      </c>
    </row>
    <row r="58" spans="3:9" outlineLevel="1" x14ac:dyDescent="0.2">
      <c r="D58" s="2" t="s">
        <v>66</v>
      </c>
      <c r="F58" s="91">
        <f>(F57-$I$16)*1000/'Exhibit 9'!$F$15</f>
        <v>78.928175067502082</v>
      </c>
      <c r="G58" s="92">
        <f>(G57-$I$16)*1000/'Exhibit 9'!$F$15</f>
        <v>31.226368936313442</v>
      </c>
      <c r="H58" s="92">
        <f>(H57-$I$16)*1000/'Exhibit 9'!$F$15</f>
        <v>33.105413122211232</v>
      </c>
      <c r="I58" s="93">
        <f>(I57-$I$16)*1000/'Exhibit 9'!$F$15</f>
        <v>33.421478817043443</v>
      </c>
    </row>
    <row r="59" spans="3:9" outlineLevel="1" x14ac:dyDescent="0.2"/>
    <row r="60" spans="3:9" outlineLevel="1" x14ac:dyDescent="0.2">
      <c r="D60" s="2" t="s">
        <v>148</v>
      </c>
      <c r="I60" s="80">
        <f>AVERAGE(F57:I57)</f>
        <v>13162.617539243996</v>
      </c>
    </row>
    <row r="61" spans="3:9" outlineLevel="1" x14ac:dyDescent="0.2">
      <c r="D61" s="2" t="s">
        <v>149</v>
      </c>
      <c r="I61" s="69">
        <f>AVERAGE(F58:I58)</f>
        <v>44.170358985767542</v>
      </c>
    </row>
    <row r="62" spans="3:9" outlineLevel="1" x14ac:dyDescent="0.2">
      <c r="D62" s="2" t="s">
        <v>66</v>
      </c>
    </row>
  </sheetData>
  <mergeCells count="12">
    <mergeCell ref="D40:L40"/>
    <mergeCell ref="D29:L29"/>
    <mergeCell ref="D34:L34"/>
    <mergeCell ref="D35:L35"/>
    <mergeCell ref="D36:L36"/>
    <mergeCell ref="D37:L37"/>
    <mergeCell ref="D38:L38"/>
    <mergeCell ref="D3:L3"/>
    <mergeCell ref="D2:L2"/>
    <mergeCell ref="D4:L4"/>
    <mergeCell ref="D5:L5"/>
    <mergeCell ref="D33:L33"/>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5971-B5BC-44EB-9685-5C69DADA1D23}">
  <dimension ref="A1:I28"/>
  <sheetViews>
    <sheetView showGridLines="0" zoomScale="114" workbookViewId="0">
      <selection activeCell="F32" sqref="F32"/>
    </sheetView>
  </sheetViews>
  <sheetFormatPr baseColWidth="10" defaultColWidth="9" defaultRowHeight="16" x14ac:dyDescent="0.2"/>
  <cols>
    <col min="1" max="1" width="32.5" style="2" bestFit="1" customWidth="1"/>
    <col min="2" max="6" width="9.83203125" style="2" bestFit="1" customWidth="1"/>
    <col min="7" max="256" width="11" style="2" customWidth="1"/>
    <col min="257" max="16384" width="9" style="2"/>
  </cols>
  <sheetData>
    <row r="1" spans="1:9" ht="18" x14ac:dyDescent="0.2">
      <c r="A1" s="140" t="s">
        <v>150</v>
      </c>
      <c r="B1" s="140"/>
      <c r="C1" s="140"/>
      <c r="D1" s="140"/>
      <c r="E1" s="140"/>
      <c r="F1" s="140"/>
      <c r="G1" s="1"/>
      <c r="H1" s="1"/>
      <c r="I1" s="1"/>
    </row>
    <row r="2" spans="1:9" ht="18" x14ac:dyDescent="0.2">
      <c r="A2" s="150" t="s">
        <v>0</v>
      </c>
      <c r="B2" s="150"/>
      <c r="C2" s="150"/>
      <c r="D2" s="150"/>
      <c r="E2" s="150"/>
      <c r="F2" s="150"/>
      <c r="G2" s="1"/>
      <c r="H2" s="1"/>
      <c r="I2" s="1"/>
    </row>
    <row r="3" spans="1:9" x14ac:dyDescent="0.2">
      <c r="A3" s="140" t="s">
        <v>151</v>
      </c>
      <c r="B3" s="140"/>
      <c r="C3" s="140"/>
      <c r="D3" s="140"/>
      <c r="E3" s="140"/>
      <c r="F3" s="140"/>
    </row>
    <row r="4" spans="1:9" x14ac:dyDescent="0.2">
      <c r="A4" s="140" t="s">
        <v>152</v>
      </c>
      <c r="B4" s="140"/>
      <c r="C4" s="140"/>
      <c r="D4" s="140"/>
      <c r="E4" s="140"/>
      <c r="F4" s="140"/>
    </row>
    <row r="6" spans="1:9" x14ac:dyDescent="0.2">
      <c r="A6" s="4" t="s">
        <v>153</v>
      </c>
      <c r="B6" s="41">
        <v>2003</v>
      </c>
      <c r="C6" s="41">
        <v>2004</v>
      </c>
      <c r="D6" s="41">
        <v>2005</v>
      </c>
      <c r="E6" s="41">
        <v>2006</v>
      </c>
      <c r="F6" s="41">
        <v>2007</v>
      </c>
    </row>
    <row r="7" spans="1:9" x14ac:dyDescent="0.2">
      <c r="A7" s="34" t="s">
        <v>23</v>
      </c>
      <c r="B7" s="42">
        <v>3069.0880000000002</v>
      </c>
      <c r="C7" s="42">
        <v>3648.5920000000001</v>
      </c>
      <c r="D7" s="42">
        <v>4159.3059999999996</v>
      </c>
      <c r="E7" s="42">
        <v>4686.0110000000004</v>
      </c>
      <c r="F7" s="42">
        <v>5389.1</v>
      </c>
    </row>
    <row r="8" spans="1:9" x14ac:dyDescent="0.2">
      <c r="A8" s="34" t="s">
        <v>154</v>
      </c>
      <c r="B8" s="42">
        <v>1792.3530000000001</v>
      </c>
      <c r="C8" s="42">
        <v>2038.614</v>
      </c>
      <c r="D8" s="42">
        <v>2255.904</v>
      </c>
      <c r="E8" s="42">
        <v>2429.8220000000001</v>
      </c>
      <c r="F8" s="42">
        <v>2840.7820000000002</v>
      </c>
    </row>
    <row r="9" spans="1:9" x14ac:dyDescent="0.2">
      <c r="A9" s="34" t="s">
        <v>155</v>
      </c>
      <c r="B9" s="42">
        <v>205.64699999999999</v>
      </c>
      <c r="C9" s="42">
        <v>227.542</v>
      </c>
      <c r="D9" s="42">
        <v>237.40799999999999</v>
      </c>
      <c r="E9" s="42">
        <v>239.67</v>
      </c>
      <c r="F9" s="42">
        <v>300.15800000000002</v>
      </c>
    </row>
    <row r="10" spans="1:9" x14ac:dyDescent="0.2">
      <c r="A10" s="34" t="s">
        <v>156</v>
      </c>
      <c r="B10" s="42">
        <v>445.89400000000001</v>
      </c>
      <c r="C10" s="42">
        <v>492.95400000000001</v>
      </c>
      <c r="D10" s="42">
        <v>517.25199999999995</v>
      </c>
      <c r="E10" s="42">
        <v>529.37699999999995</v>
      </c>
      <c r="F10" s="42">
        <v>632.005</v>
      </c>
    </row>
    <row r="11" spans="1:9" x14ac:dyDescent="0.2">
      <c r="A11" s="45" t="s">
        <v>157</v>
      </c>
      <c r="B11" s="42">
        <v>1.5856602324291262</v>
      </c>
      <c r="C11" s="42">
        <v>1.7490499962744952</v>
      </c>
      <c r="D11" s="42">
        <v>1.8323815731674482</v>
      </c>
      <c r="E11" s="42">
        <v>1.9015046749449529</v>
      </c>
      <c r="F11" s="42">
        <v>2.2782097450371825</v>
      </c>
    </row>
    <row r="12" spans="1:9" x14ac:dyDescent="0.2">
      <c r="A12" s="34" t="s">
        <v>158</v>
      </c>
      <c r="B12" s="42"/>
      <c r="C12" s="42"/>
      <c r="D12" s="42"/>
      <c r="E12" s="42"/>
      <c r="F12" s="42"/>
    </row>
    <row r="13" spans="1:9" x14ac:dyDescent="0.2">
      <c r="A13" s="45" t="s">
        <v>159</v>
      </c>
      <c r="B13" s="42">
        <v>0.69199999999999995</v>
      </c>
      <c r="C13" s="42">
        <v>0.74</v>
      </c>
      <c r="D13" s="42">
        <v>0.86</v>
      </c>
      <c r="E13" s="42">
        <v>0.99199999999999999</v>
      </c>
      <c r="F13" s="42">
        <v>1.1259999999999999</v>
      </c>
    </row>
    <row r="14" spans="1:9" x14ac:dyDescent="0.2">
      <c r="A14" s="45" t="s">
        <v>160</v>
      </c>
      <c r="B14" s="17">
        <v>0.43641127263430318</v>
      </c>
      <c r="C14" s="17">
        <v>0.42151811325194644</v>
      </c>
      <c r="D14" s="17">
        <v>0.4671398853943533</v>
      </c>
      <c r="E14" s="17">
        <v>0.52011241893773252</v>
      </c>
      <c r="F14" s="17">
        <v>0.490584697905871</v>
      </c>
    </row>
    <row r="15" spans="1:9" x14ac:dyDescent="0.2">
      <c r="A15" s="34" t="s">
        <v>161</v>
      </c>
      <c r="B15" s="43">
        <v>281204</v>
      </c>
      <c r="C15" s="43">
        <v>280796</v>
      </c>
      <c r="D15" s="43">
        <v>280964</v>
      </c>
      <c r="E15" s="43">
        <v>277556</v>
      </c>
      <c r="F15" s="43">
        <v>275357</v>
      </c>
    </row>
    <row r="16" spans="1:9" x14ac:dyDescent="0.2">
      <c r="B16" s="44"/>
      <c r="C16" s="44"/>
      <c r="D16" s="44"/>
      <c r="E16" s="44"/>
      <c r="F16" s="44"/>
    </row>
    <row r="17" spans="1:6" x14ac:dyDescent="0.2">
      <c r="A17" s="4" t="s">
        <v>162</v>
      </c>
      <c r="B17" s="41">
        <v>2003</v>
      </c>
      <c r="C17" s="41">
        <v>2004</v>
      </c>
      <c r="D17" s="41">
        <v>2005</v>
      </c>
      <c r="E17" s="41">
        <v>2006</v>
      </c>
      <c r="F17" s="41">
        <v>2007</v>
      </c>
    </row>
    <row r="18" spans="1:6" x14ac:dyDescent="0.2">
      <c r="A18" s="34" t="s">
        <v>163</v>
      </c>
      <c r="B18" s="42">
        <v>956.18</v>
      </c>
      <c r="C18" s="42">
        <v>1142.6199999999999</v>
      </c>
      <c r="D18" s="42">
        <v>1282.412</v>
      </c>
      <c r="E18" s="42">
        <v>1422.5160000000001</v>
      </c>
      <c r="F18" s="42">
        <v>1560.0640000000001</v>
      </c>
    </row>
    <row r="19" spans="1:6" x14ac:dyDescent="0.2">
      <c r="A19" s="34" t="s">
        <v>164</v>
      </c>
      <c r="B19" s="42">
        <v>2520.41</v>
      </c>
      <c r="C19" s="42">
        <v>3166.703</v>
      </c>
      <c r="D19" s="42">
        <v>4460.201</v>
      </c>
      <c r="E19" s="42">
        <v>4661.598</v>
      </c>
      <c r="F19" s="42">
        <v>5231.5119999999997</v>
      </c>
    </row>
    <row r="20" spans="1:6" x14ac:dyDescent="0.2">
      <c r="A20" s="34" t="s">
        <v>165</v>
      </c>
      <c r="B20" s="42">
        <v>825.79699999999991</v>
      </c>
      <c r="C20" s="42">
        <v>787.94</v>
      </c>
      <c r="D20" s="42">
        <v>325.28300000000002</v>
      </c>
      <c r="E20" s="42">
        <v>454.09800000000018</v>
      </c>
      <c r="F20" s="42">
        <v>448.65800000000013</v>
      </c>
    </row>
    <row r="21" spans="1:6" x14ac:dyDescent="0.2">
      <c r="A21" s="34" t="s">
        <v>51</v>
      </c>
      <c r="B21" s="42">
        <v>0</v>
      </c>
      <c r="C21" s="42">
        <v>90</v>
      </c>
      <c r="D21" s="42">
        <v>1100</v>
      </c>
      <c r="E21" s="42">
        <v>1065</v>
      </c>
      <c r="F21" s="42">
        <v>1000</v>
      </c>
    </row>
    <row r="22" spans="1:6" x14ac:dyDescent="0.2">
      <c r="A22" s="34" t="s">
        <v>166</v>
      </c>
      <c r="B22" s="42">
        <v>1820.8209999999999</v>
      </c>
      <c r="C22" s="42">
        <v>2178.6840000000002</v>
      </c>
      <c r="D22" s="42">
        <v>2214.422</v>
      </c>
      <c r="E22" s="42">
        <v>2388.0920000000001</v>
      </c>
      <c r="F22" s="42">
        <v>2817.48</v>
      </c>
    </row>
    <row r="23" spans="1:6" x14ac:dyDescent="0.2">
      <c r="A23" s="34" t="s">
        <v>167</v>
      </c>
      <c r="B23" s="17">
        <v>0.24488623538502688</v>
      </c>
      <c r="C23" s="17">
        <v>0.22626227575912797</v>
      </c>
      <c r="D23" s="17">
        <v>0.23358330074394129</v>
      </c>
      <c r="E23" s="17">
        <v>0.22167362061428117</v>
      </c>
      <c r="F23" s="17">
        <v>0.22431570055510597</v>
      </c>
    </row>
    <row r="24" spans="1:6" x14ac:dyDescent="0.2">
      <c r="A24" s="34" t="s">
        <v>168</v>
      </c>
      <c r="B24" s="43">
        <v>40379</v>
      </c>
      <c r="C24" s="43">
        <v>40779</v>
      </c>
      <c r="D24" s="43">
        <v>40545</v>
      </c>
      <c r="E24" s="43">
        <v>40986</v>
      </c>
      <c r="F24" s="43">
        <v>41020</v>
      </c>
    </row>
    <row r="25" spans="1:6" x14ac:dyDescent="0.2">
      <c r="A25" s="34" t="s">
        <v>169</v>
      </c>
      <c r="B25" s="43">
        <v>12000</v>
      </c>
      <c r="C25" s="43">
        <v>14800</v>
      </c>
      <c r="D25" s="43">
        <v>14300</v>
      </c>
      <c r="E25" s="43">
        <v>15800</v>
      </c>
      <c r="F25" s="43">
        <v>16400</v>
      </c>
    </row>
    <row r="26" spans="1:6" x14ac:dyDescent="0.2">
      <c r="A26" s="34" t="s">
        <v>170</v>
      </c>
      <c r="B26" s="42">
        <v>0.25575733333333334</v>
      </c>
      <c r="C26" s="42">
        <v>0.24652648648648651</v>
      </c>
      <c r="D26" s="42">
        <v>0.29086055944055939</v>
      </c>
      <c r="E26" s="42">
        <v>0.29658297468354433</v>
      </c>
      <c r="F26" s="42">
        <v>0.32860365853658541</v>
      </c>
    </row>
    <row r="28" spans="1:6" x14ac:dyDescent="0.2">
      <c r="A28" s="149" t="s">
        <v>171</v>
      </c>
      <c r="B28" s="149"/>
      <c r="C28" s="149"/>
      <c r="D28" s="149"/>
      <c r="E28" s="149"/>
      <c r="F28" s="149"/>
    </row>
  </sheetData>
  <mergeCells count="5">
    <mergeCell ref="A28:F28"/>
    <mergeCell ref="A1:F1"/>
    <mergeCell ref="A3:F3"/>
    <mergeCell ref="A4:F4"/>
    <mergeCell ref="A2:F2"/>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1FD4F-EE85-4A49-B392-CD0D0659FA26}">
  <dimension ref="B1:M34"/>
  <sheetViews>
    <sheetView showGridLines="0" workbookViewId="0">
      <selection activeCell="E32" sqref="E32"/>
    </sheetView>
  </sheetViews>
  <sheetFormatPr baseColWidth="10" defaultColWidth="9" defaultRowHeight="16" x14ac:dyDescent="0.2"/>
  <cols>
    <col min="1" max="2" width="11" style="2" customWidth="1"/>
    <col min="3" max="3" width="13.5" style="2" customWidth="1"/>
    <col min="4" max="256" width="11" style="2" customWidth="1"/>
    <col min="257" max="16384" width="9" style="2"/>
  </cols>
  <sheetData>
    <row r="1" spans="2:13" x14ac:dyDescent="0.2">
      <c r="B1" s="152" t="s">
        <v>172</v>
      </c>
      <c r="C1" s="152"/>
      <c r="D1" s="152"/>
      <c r="E1" s="152"/>
      <c r="F1" s="152"/>
      <c r="G1" s="4"/>
      <c r="H1" s="4"/>
      <c r="I1" s="4"/>
      <c r="J1" s="4"/>
      <c r="K1" s="4"/>
      <c r="L1" s="4"/>
      <c r="M1" s="4"/>
    </row>
    <row r="2" spans="2:13" x14ac:dyDescent="0.2">
      <c r="B2" s="150" t="s">
        <v>0</v>
      </c>
      <c r="C2" s="150"/>
      <c r="D2" s="150"/>
      <c r="E2" s="150"/>
      <c r="F2" s="150"/>
      <c r="G2" s="33"/>
      <c r="H2" s="33"/>
      <c r="I2" s="33"/>
      <c r="J2" s="33"/>
      <c r="K2" s="33"/>
      <c r="L2" s="33"/>
      <c r="M2" s="33"/>
    </row>
    <row r="3" spans="2:13" x14ac:dyDescent="0.2">
      <c r="B3" s="152" t="s">
        <v>173</v>
      </c>
      <c r="C3" s="152"/>
      <c r="D3" s="152"/>
      <c r="E3" s="152"/>
      <c r="F3" s="152"/>
      <c r="G3" s="33"/>
      <c r="H3" s="33"/>
      <c r="I3" s="33"/>
      <c r="J3" s="33"/>
      <c r="K3" s="33"/>
      <c r="L3" s="33"/>
      <c r="M3" s="33"/>
    </row>
    <row r="4" spans="2:13" x14ac:dyDescent="0.2">
      <c r="D4" s="33"/>
      <c r="E4" s="33"/>
      <c r="F4" s="33"/>
      <c r="G4" s="33"/>
      <c r="H4" s="33"/>
      <c r="I4" s="33"/>
      <c r="J4" s="33"/>
      <c r="K4" s="33"/>
      <c r="L4" s="33"/>
      <c r="M4" s="33"/>
    </row>
    <row r="5" spans="2:13" x14ac:dyDescent="0.2">
      <c r="C5" s="150" t="s">
        <v>174</v>
      </c>
      <c r="D5" s="150"/>
    </row>
    <row r="7" spans="2:13" x14ac:dyDescent="0.2">
      <c r="C7" s="2" t="s">
        <v>128</v>
      </c>
      <c r="D7" s="30">
        <v>5.5500000000000001E-2</v>
      </c>
    </row>
    <row r="8" spans="2:13" x14ac:dyDescent="0.2">
      <c r="C8" s="2" t="s">
        <v>127</v>
      </c>
      <c r="D8" s="30">
        <v>5.9299999999999999E-2</v>
      </c>
    </row>
    <row r="9" spans="2:13" x14ac:dyDescent="0.2">
      <c r="C9" s="2" t="s">
        <v>129</v>
      </c>
      <c r="D9" s="30">
        <v>6.3E-2</v>
      </c>
    </row>
    <row r="10" spans="2:13" x14ac:dyDescent="0.2">
      <c r="C10" s="2" t="s">
        <v>175</v>
      </c>
      <c r="D10" s="30">
        <v>6.9699999999999998E-2</v>
      </c>
    </row>
    <row r="12" spans="2:13" x14ac:dyDescent="0.2">
      <c r="C12" s="46" t="s">
        <v>176</v>
      </c>
    </row>
    <row r="15" spans="2:13" x14ac:dyDescent="0.2">
      <c r="C15" s="151" t="s">
        <v>177</v>
      </c>
      <c r="D15" s="151"/>
    </row>
    <row r="17" spans="3:5" x14ac:dyDescent="0.2">
      <c r="C17" s="34" t="s">
        <v>178</v>
      </c>
      <c r="D17" s="30">
        <v>1.0699999999999999E-2</v>
      </c>
    </row>
    <row r="18" spans="3:5" x14ac:dyDescent="0.2">
      <c r="C18" s="34" t="s">
        <v>179</v>
      </c>
      <c r="D18" s="30">
        <v>1.3100000000000001E-2</v>
      </c>
    </row>
    <row r="19" spans="3:5" x14ac:dyDescent="0.2">
      <c r="C19" s="34" t="s">
        <v>180</v>
      </c>
      <c r="D19" s="30">
        <v>1.5800000000000002E-2</v>
      </c>
    </row>
    <row r="20" spans="3:5" x14ac:dyDescent="0.2">
      <c r="C20" s="34" t="s">
        <v>181</v>
      </c>
      <c r="D20" s="30">
        <v>1.7399999999999999E-2</v>
      </c>
    </row>
    <row r="21" spans="3:5" x14ac:dyDescent="0.2">
      <c r="C21" s="34" t="s">
        <v>182</v>
      </c>
      <c r="D21" s="30">
        <v>2.0500000000000001E-2</v>
      </c>
    </row>
    <row r="22" spans="3:5" x14ac:dyDescent="0.2">
      <c r="C22" s="34" t="s">
        <v>183</v>
      </c>
      <c r="D22" s="30">
        <v>2.23E-2</v>
      </c>
    </row>
    <row r="23" spans="3:5" x14ac:dyDescent="0.2">
      <c r="C23" s="34" t="s">
        <v>184</v>
      </c>
      <c r="D23" s="30">
        <v>2.8400000000000002E-2</v>
      </c>
    </row>
    <row r="24" spans="3:5" x14ac:dyDescent="0.2">
      <c r="C24" s="34" t="s">
        <v>185</v>
      </c>
      <c r="D24" s="30">
        <v>3.1899999999999998E-2</v>
      </c>
    </row>
    <row r="25" spans="3:5" x14ac:dyDescent="0.2">
      <c r="C25" s="34" t="s">
        <v>186</v>
      </c>
      <c r="D25" s="30">
        <v>3.6799999999999999E-2</v>
      </c>
    </row>
    <row r="26" spans="3:5" x14ac:dyDescent="0.2">
      <c r="C26" s="34" t="s">
        <v>187</v>
      </c>
      <c r="D26" s="30">
        <v>4.3999999999999997E-2</v>
      </c>
    </row>
    <row r="27" spans="3:5" x14ac:dyDescent="0.2">
      <c r="C27" s="34" t="s">
        <v>188</v>
      </c>
      <c r="D27" s="30">
        <v>4.4400000000000002E-2</v>
      </c>
    </row>
    <row r="29" spans="3:5" x14ac:dyDescent="0.2">
      <c r="C29" s="46" t="s">
        <v>189</v>
      </c>
    </row>
    <row r="32" spans="3:5" x14ac:dyDescent="0.2">
      <c r="C32" s="2" t="s">
        <v>190</v>
      </c>
      <c r="E32" s="29">
        <v>0.06</v>
      </c>
    </row>
    <row r="34" spans="3:3" x14ac:dyDescent="0.2">
      <c r="C34" s="46" t="s">
        <v>191</v>
      </c>
    </row>
  </sheetData>
  <mergeCells count="5">
    <mergeCell ref="C15:D15"/>
    <mergeCell ref="C5:D5"/>
    <mergeCell ref="B1:F1"/>
    <mergeCell ref="B2:F2"/>
    <mergeCell ref="B3:F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Wrigley Model</vt:lpstr>
      <vt:lpstr>DCF - Ex.11</vt:lpstr>
      <vt:lpstr>Comparables - Ex.10</vt:lpstr>
      <vt:lpstr>Exhibit 9</vt:lpstr>
      <vt:lpstr>Exhibit 12</vt:lpstr>
      <vt:lpstr>'Wrigley Model'!Print_Area</vt:lpstr>
    </vt:vector>
  </TitlesOfParts>
  <Manager/>
  <Company>Darden Graduate Business School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Wm. Wrigley Jr. Company (SPREADSHEET)</dc:title>
  <dc:subject/>
  <dc:creator>George Shapovalov</dc:creator>
  <cp:keywords/>
  <dc:description/>
  <cp:lastModifiedBy>Tarapchak, Ryan James</cp:lastModifiedBy>
  <cp:revision/>
  <dcterms:created xsi:type="dcterms:W3CDTF">2009-10-13T23:52:26Z</dcterms:created>
  <dcterms:modified xsi:type="dcterms:W3CDTF">2026-03-30T16:24:51Z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CFileType">
    <vt:lpwstr>Supplemental File</vt:lpwstr>
  </property>
  <property fmtid="{D5CDD505-2E9C-101B-9397-08002B2CF9AE}" pid="3" name="Owner">
    <vt:lpwstr>18</vt:lpwstr>
  </property>
  <property fmtid="{D5CDD505-2E9C-101B-9397-08002B2CF9AE}" pid="4" name="SubjectArea">
    <vt:lpwstr>Finance</vt:lpwstr>
  </property>
  <property fmtid="{D5CDD505-2E9C-101B-9397-08002B2CF9AE}" pid="5" name="FileGUID">
    <vt:lpwstr>7440de71-a085-40b1-b8c4-dc6a74334312</vt:lpwstr>
  </property>
  <property fmtid="{D5CDD505-2E9C-101B-9397-08002B2CF9AE}" pid="6" name="VersionModifier">
    <vt:lpwstr>257</vt:lpwstr>
  </property>
  <property fmtid="{D5CDD505-2E9C-101B-9397-08002B2CF9AE}" pid="7" name="MetadataLibrary">
    <vt:lpwstr>Editing Metadata</vt:lpwstr>
  </property>
  <property fmtid="{D5CDD505-2E9C-101B-9397-08002B2CF9AE}" pid="8" name="MetadataURL">
    <vt:lpwstr>http://casemanagement.darden.virginia.edu/Lists/Editing Metadata/DispForm.aspx?ID=1663, View Document Metadata</vt:lpwstr>
  </property>
  <property fmtid="{D5CDD505-2E9C-101B-9397-08002B2CF9AE}" pid="9" name="ApprovalState">
    <vt:lpwstr>Approved</vt:lpwstr>
  </property>
  <property fmtid="{D5CDD505-2E9C-101B-9397-08002B2CF9AE}" pid="10" name="MetadataID">
    <vt:lpwstr>1663</vt:lpwstr>
  </property>
  <property fmtid="{D5CDD505-2E9C-101B-9397-08002B2CF9AE}" pid="11" name="Status">
    <vt:lpwstr>Approved</vt:lpwstr>
  </property>
  <property fmtid="{D5CDD505-2E9C-101B-9397-08002B2CF9AE}" pid="12" name="VersionModifierName">
    <vt:lpwstr>DARDEN\shrodek</vt:lpwstr>
  </property>
  <property fmtid="{D5CDD505-2E9C-101B-9397-08002B2CF9AE}" pid="13" name="MetadataLibraryDisplayFormLink">
    <vt:lpwstr>http://casemanagement.darden.virginia.edu/Lists/Editing Metadata/DispForm.aspx</vt:lpwstr>
  </property>
  <property fmtid="{D5CDD505-2E9C-101B-9397-08002B2CF9AE}" pid="14" name="DateInEditing">
    <vt:lpwstr>2010-02-19T10:45:10Z</vt:lpwstr>
  </property>
  <property fmtid="{D5CDD505-2E9C-101B-9397-08002B2CF9AE}" pid="15" name="DBPEditor">
    <vt:lpwstr>257</vt:lpwstr>
  </property>
  <property fmtid="{D5CDD505-2E9C-101B-9397-08002B2CF9AE}" pid="16" name="EditingStatus">
    <vt:lpwstr>Metadata Review Complete</vt:lpwstr>
  </property>
  <property fmtid="{D5CDD505-2E9C-101B-9397-08002B2CF9AE}" pid="17" name="DateOfApproval">
    <vt:lpwstr>2010-03-09T13:39:31Z</vt:lpwstr>
  </property>
  <property fmtid="{D5CDD505-2E9C-101B-9397-08002B2CF9AE}" pid="18" name="DatePending">
    <vt:lpwstr>2010-03-09T11:51:24Z</vt:lpwstr>
  </property>
  <property fmtid="{D5CDD505-2E9C-101B-9397-08002B2CF9AE}" pid="19" name="PrimaryAuthor">
    <vt:lpwstr/>
  </property>
  <property fmtid="{D5CDD505-2E9C-101B-9397-08002B2CF9AE}" pid="20" name="DateEditingEnded">
    <vt:lpwstr/>
  </property>
  <property fmtid="{D5CDD505-2E9C-101B-9397-08002B2CF9AE}" pid="21" name="Alternate">
    <vt:lpwstr/>
  </property>
  <property fmtid="{D5CDD505-2E9C-101B-9397-08002B2CF9AE}" pid="22" name="RWP">
    <vt:lpwstr/>
  </property>
  <property fmtid="{D5CDD505-2E9C-101B-9397-08002B2CF9AE}" pid="23" name="XMLFilename">
    <vt:lpwstr/>
  </property>
  <property fmtid="{D5CDD505-2E9C-101B-9397-08002B2CF9AE}" pid="24" name="RejectionText">
    <vt:lpwstr/>
  </property>
  <property fmtid="{D5CDD505-2E9C-101B-9397-08002B2CF9AE}" pid="25" name="CheckinCommentLine">
    <vt:lpwstr/>
  </property>
</Properties>
</file>