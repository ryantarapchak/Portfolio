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ryantarapchak/"/>
    </mc:Choice>
  </mc:AlternateContent>
  <xr:revisionPtr revIDLastSave="0" documentId="8_{896A424B-8C63-0E44-BB51-97073F94DBD0}" xr6:coauthVersionLast="47" xr6:coauthVersionMax="47" xr10:uidLastSave="{00000000-0000-0000-0000-000000000000}"/>
  <bookViews>
    <workbookView xWindow="20" yWindow="600" windowWidth="28800" windowHeight="15880" firstSheet="7" activeTab="13" xr2:uid="{00000000-000D-0000-FFFF-FFFF00000000}"/>
  </bookViews>
  <sheets>
    <sheet name="Assumptions" sheetId="1" r:id="rId1"/>
    <sheet name="Opening Balance Sheet" sheetId="2" r:id="rId2"/>
    <sheet name="Sales Budget" sheetId="3" r:id="rId3"/>
    <sheet name="Production Budget" sheetId="4" r:id="rId4"/>
    <sheet name="Raw Materials Budget" sheetId="5" r:id="rId5"/>
    <sheet name="Direct Labor Budget" sheetId="6" r:id="rId6"/>
    <sheet name="Factory Overhead Budget" sheetId="7" r:id="rId7"/>
    <sheet name="Finished Goods Inventory Budget" sheetId="8" r:id="rId8"/>
    <sheet name="SG&amp;A Budget" sheetId="9" r:id="rId9"/>
    <sheet name="Cash Budget" sheetId="10" r:id="rId10"/>
    <sheet name="Income Statement" sheetId="11" r:id="rId11"/>
    <sheet name="Statement of Retained Earnings" sheetId="15" r:id="rId12"/>
    <sheet name="Closing Balance Sheet" sheetId="13" r:id="rId13"/>
    <sheet name="Statement of Cash Flow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4" l="1"/>
  <c r="D3" i="14"/>
  <c r="B3" i="10"/>
  <c r="B6" i="9"/>
  <c r="D6" i="9" s="1"/>
  <c r="F6" i="9" s="1"/>
  <c r="G6" i="10" s="1"/>
  <c r="B5" i="9"/>
  <c r="D5" i="9" s="1"/>
  <c r="F5" i="9" s="1"/>
  <c r="B4" i="9"/>
  <c r="D4" i="9" s="1"/>
  <c r="F4" i="9" s="1"/>
  <c r="B3" i="9"/>
  <c r="D3" i="9" s="1"/>
  <c r="F3" i="9" s="1"/>
  <c r="G3" i="10" s="1"/>
  <c r="F6" i="7"/>
  <c r="C6" i="14" s="1"/>
  <c r="F5" i="7"/>
  <c r="C5" i="14" s="1"/>
  <c r="F4" i="7"/>
  <c r="C4" i="14" s="1"/>
  <c r="F3" i="7"/>
  <c r="C3" i="14" s="1"/>
  <c r="G6" i="6"/>
  <c r="C6" i="6"/>
  <c r="G5" i="6"/>
  <c r="C5" i="6"/>
  <c r="G4" i="6"/>
  <c r="C4" i="6"/>
  <c r="G3" i="6"/>
  <c r="C3" i="6"/>
  <c r="I6" i="4"/>
  <c r="F6" i="8" s="1"/>
  <c r="H6" i="4"/>
  <c r="E6" i="4"/>
  <c r="D6" i="4"/>
  <c r="I5" i="4"/>
  <c r="F6" i="4" s="1"/>
  <c r="H5" i="4"/>
  <c r="E5" i="4"/>
  <c r="C5" i="8" s="1"/>
  <c r="D5" i="4"/>
  <c r="I4" i="4"/>
  <c r="F4" i="8" s="1"/>
  <c r="H4" i="4"/>
  <c r="E4" i="4"/>
  <c r="C4" i="8" s="1"/>
  <c r="D4" i="4"/>
  <c r="I3" i="4"/>
  <c r="F3" i="8" s="1"/>
  <c r="H3" i="4"/>
  <c r="E3" i="4"/>
  <c r="B4" i="4" s="1"/>
  <c r="D3" i="4"/>
  <c r="F7" i="3"/>
  <c r="G7" i="3" s="1"/>
  <c r="C7" i="3"/>
  <c r="D7" i="3" s="1"/>
  <c r="F6" i="3"/>
  <c r="G6" i="3" s="1"/>
  <c r="C6" i="3"/>
  <c r="D6" i="3" s="1"/>
  <c r="F5" i="3"/>
  <c r="G5" i="3" s="1"/>
  <c r="C5" i="3"/>
  <c r="D5" i="3" s="1"/>
  <c r="F4" i="3"/>
  <c r="G4" i="3" s="1"/>
  <c r="C4" i="3"/>
  <c r="D4" i="3" s="1"/>
  <c r="F3" i="3"/>
  <c r="G3" i="3" s="1"/>
  <c r="C3" i="3"/>
  <c r="D3" i="3" s="1"/>
  <c r="B7" i="2"/>
  <c r="E6" i="2"/>
  <c r="B6" i="2"/>
  <c r="E3" i="11" l="1"/>
  <c r="G4" i="10"/>
  <c r="E4" i="11"/>
  <c r="G5" i="10"/>
  <c r="E5" i="11"/>
  <c r="E6" i="11"/>
  <c r="F4" i="4"/>
  <c r="G4" i="4" s="1"/>
  <c r="C3" i="4"/>
  <c r="H6" i="3"/>
  <c r="C4" i="4"/>
  <c r="G3" i="4"/>
  <c r="B9" i="2"/>
  <c r="F5" i="4"/>
  <c r="G5" i="4" s="1"/>
  <c r="F5" i="8"/>
  <c r="H3" i="3"/>
  <c r="G6" i="4"/>
  <c r="H4" i="3"/>
  <c r="H7" i="3"/>
  <c r="H5" i="3"/>
  <c r="C3" i="8"/>
  <c r="B7" i="13"/>
  <c r="C6" i="8"/>
  <c r="B5" i="4"/>
  <c r="C5" i="4" s="1"/>
  <c r="B6" i="4"/>
  <c r="C6" i="4" s="1"/>
  <c r="B10" i="13" l="1"/>
  <c r="E6" i="8"/>
  <c r="G6" i="8" s="1"/>
  <c r="C6" i="5"/>
  <c r="B6" i="5"/>
  <c r="B6" i="8"/>
  <c r="D6" i="8" s="1"/>
  <c r="B6" i="13" s="1"/>
  <c r="F5" i="6"/>
  <c r="H5" i="6" s="1"/>
  <c r="I5" i="6" s="1"/>
  <c r="E5" i="5"/>
  <c r="D5" i="5"/>
  <c r="F6" i="6"/>
  <c r="H6" i="6" s="1"/>
  <c r="I6" i="6" s="1"/>
  <c r="E6" i="5"/>
  <c r="D6" i="5"/>
  <c r="B4" i="6"/>
  <c r="D4" i="6" s="1"/>
  <c r="E4" i="8"/>
  <c r="G4" i="8" s="1"/>
  <c r="C4" i="5"/>
  <c r="B4" i="8"/>
  <c r="D4" i="8" s="1"/>
  <c r="B4" i="5"/>
  <c r="B6" i="11"/>
  <c r="C6" i="10"/>
  <c r="F3" i="6"/>
  <c r="H3" i="6" s="1"/>
  <c r="I3" i="6" s="1"/>
  <c r="E3" i="5"/>
  <c r="D3" i="5"/>
  <c r="B3" i="11"/>
  <c r="C3" i="10"/>
  <c r="B3" i="6"/>
  <c r="D3" i="6" s="1"/>
  <c r="E3" i="6" s="1"/>
  <c r="K3" i="6" s="1"/>
  <c r="E3" i="10" s="1"/>
  <c r="E3" i="8"/>
  <c r="C3" i="5"/>
  <c r="B3" i="8"/>
  <c r="D3" i="8" s="1"/>
  <c r="B3" i="5"/>
  <c r="E5" i="8"/>
  <c r="G5" i="8" s="1"/>
  <c r="C5" i="5"/>
  <c r="B5" i="8"/>
  <c r="D5" i="8" s="1"/>
  <c r="B5" i="5"/>
  <c r="B4" i="11"/>
  <c r="C4" i="10"/>
  <c r="B5" i="11"/>
  <c r="C5" i="10"/>
  <c r="E4" i="5"/>
  <c r="D4" i="5"/>
  <c r="B4" i="13"/>
  <c r="D4" i="14"/>
  <c r="D6" i="14"/>
  <c r="F4" i="6"/>
  <c r="H4" i="6" s="1"/>
  <c r="I4" i="6" s="1"/>
  <c r="D5" i="14"/>
  <c r="B6" i="6"/>
  <c r="D6" i="6" s="1"/>
  <c r="B5" i="6"/>
  <c r="D5" i="6" s="1"/>
  <c r="E4" i="6"/>
  <c r="F3" i="5" l="1"/>
  <c r="H3" i="5" s="1"/>
  <c r="C5" i="11"/>
  <c r="D5" i="11" s="1"/>
  <c r="F5" i="11" s="1"/>
  <c r="C6" i="11"/>
  <c r="D6" i="11" s="1"/>
  <c r="F6" i="11" s="1"/>
  <c r="C4" i="11"/>
  <c r="D4" i="11" s="1"/>
  <c r="F4" i="11" s="1"/>
  <c r="J3" i="6"/>
  <c r="B3" i="7" s="1"/>
  <c r="D3" i="7" s="1"/>
  <c r="G3" i="7" s="1"/>
  <c r="F3" i="10" s="1"/>
  <c r="C3" i="11"/>
  <c r="D3" i="11" s="1"/>
  <c r="F3" i="11" s="1"/>
  <c r="G3" i="8"/>
  <c r="G3" i="5"/>
  <c r="I3" i="5" s="1"/>
  <c r="J3" i="5" s="1"/>
  <c r="J4" i="6"/>
  <c r="B4" i="7" s="1"/>
  <c r="D4" i="7" s="1"/>
  <c r="G4" i="7" s="1"/>
  <c r="F4" i="10" s="1"/>
  <c r="K4" i="6"/>
  <c r="E4" i="10" s="1"/>
  <c r="F4" i="5"/>
  <c r="H4" i="5" s="1"/>
  <c r="F5" i="5"/>
  <c r="H5" i="5" s="1"/>
  <c r="F6" i="5"/>
  <c r="H6" i="5" s="1"/>
  <c r="G6" i="5"/>
  <c r="I6" i="5" s="1"/>
  <c r="G4" i="5"/>
  <c r="I4" i="5" s="1"/>
  <c r="G5" i="5"/>
  <c r="I5" i="5" s="1"/>
  <c r="J5" i="6"/>
  <c r="B5" i="7" s="1"/>
  <c r="D5" i="7" s="1"/>
  <c r="G5" i="7" s="1"/>
  <c r="F5" i="10" s="1"/>
  <c r="E5" i="6"/>
  <c r="K5" i="6" s="1"/>
  <c r="E5" i="10" s="1"/>
  <c r="E6" i="6"/>
  <c r="K6" i="6" s="1"/>
  <c r="E6" i="10" s="1"/>
  <c r="J6" i="6"/>
  <c r="B6" i="7" s="1"/>
  <c r="D6" i="7" s="1"/>
  <c r="G6" i="7" s="1"/>
  <c r="F6" i="10" s="1"/>
  <c r="F3" i="14" l="1"/>
  <c r="D3" i="10"/>
  <c r="J5" i="5"/>
  <c r="E6" i="14" s="1"/>
  <c r="J6" i="5"/>
  <c r="B9" i="13" s="1"/>
  <c r="B11" i="13" s="1"/>
  <c r="J4" i="5"/>
  <c r="F4" i="14" s="1"/>
  <c r="H3" i="10"/>
  <c r="I3" i="10" s="1"/>
  <c r="J3" i="10" s="1"/>
  <c r="G3" i="11" s="1"/>
  <c r="H3" i="11" s="1"/>
  <c r="B5" i="13"/>
  <c r="F5" i="14" l="1"/>
  <c r="D5" i="10"/>
  <c r="H5" i="10" s="1"/>
  <c r="F6" i="14"/>
  <c r="E4" i="14"/>
  <c r="E5" i="14"/>
  <c r="D4" i="10"/>
  <c r="H4" i="10" s="1"/>
  <c r="D6" i="10"/>
  <c r="H6" i="10" s="1"/>
  <c r="I3" i="11"/>
  <c r="J3" i="11" s="1"/>
  <c r="K3" i="10"/>
  <c r="C3" i="15" l="1"/>
  <c r="E3" i="15" s="1"/>
  <c r="B4" i="15" s="1"/>
  <c r="B3" i="14"/>
  <c r="G3" i="14" s="1"/>
  <c r="B4" i="10"/>
  <c r="I4" i="10" s="1"/>
  <c r="J4" i="10" l="1"/>
  <c r="G4" i="11" s="1"/>
  <c r="H4" i="11" s="1"/>
  <c r="K4" i="10" l="1"/>
  <c r="B5" i="10" s="1"/>
  <c r="I5" i="10" s="1"/>
  <c r="I4" i="11"/>
  <c r="J4" i="11" s="1"/>
  <c r="C4" i="15" l="1"/>
  <c r="E4" i="15" s="1"/>
  <c r="B5" i="15" s="1"/>
  <c r="B4" i="14"/>
  <c r="G4" i="14" s="1"/>
  <c r="J5" i="10"/>
  <c r="G5" i="11" s="1"/>
  <c r="H5" i="11" s="1"/>
  <c r="I5" i="11" l="1"/>
  <c r="J5" i="11" s="1"/>
  <c r="K5" i="10"/>
  <c r="C5" i="15" l="1"/>
  <c r="E5" i="15" s="1"/>
  <c r="B6" i="15" s="1"/>
  <c r="B5" i="14"/>
  <c r="G5" i="14" s="1"/>
  <c r="B6" i="10"/>
  <c r="I6" i="10" s="1"/>
  <c r="J6" i="10" l="1"/>
  <c r="G6" i="11" s="1"/>
  <c r="H6" i="11" s="1"/>
  <c r="I6" i="11" l="1"/>
  <c r="J6" i="11" s="1"/>
  <c r="K6" i="10"/>
  <c r="C6" i="15" l="1"/>
  <c r="E6" i="15" s="1"/>
  <c r="J8" i="11"/>
  <c r="B6" i="14"/>
  <c r="G6" i="14" s="1"/>
  <c r="B8" i="13" l="1"/>
  <c r="B12" i="13" s="1"/>
  <c r="B13" i="13" s="1"/>
</calcChain>
</file>

<file path=xl/sharedStrings.xml><?xml version="1.0" encoding="utf-8"?>
<sst xmlns="http://schemas.openxmlformats.org/spreadsheetml/2006/main" count="208" uniqueCount="138">
  <si>
    <t>MotionPro Selling Price</t>
  </si>
  <si>
    <t>TempIQ Selling Price</t>
  </si>
  <si>
    <t>Q1 Sales %</t>
  </si>
  <si>
    <t>Q2 Sales %</t>
  </si>
  <si>
    <t>Q3 Sales %</t>
  </si>
  <si>
    <t>Q4 Sales %</t>
  </si>
  <si>
    <t>Cash %</t>
  </si>
  <si>
    <t>Credit %</t>
  </si>
  <si>
    <t>Finished Goods Ending %</t>
  </si>
  <si>
    <t>Raw Materials Ending %</t>
  </si>
  <si>
    <t>Chips Cost</t>
  </si>
  <si>
    <t>Casings Cost</t>
  </si>
  <si>
    <t>MotionPro Hours/Unit</t>
  </si>
  <si>
    <t>TempIQ Hours/Unit</t>
  </si>
  <si>
    <t>Hourly Rate</t>
  </si>
  <si>
    <t>Factory OH % of DL</t>
  </si>
  <si>
    <t>Fixed Quarterly SG&amp;A</t>
  </si>
  <si>
    <t>Variable SG&amp;A % of Sales</t>
  </si>
  <si>
    <t>Beginning Cash Balance</t>
  </si>
  <si>
    <t>Beginning AR</t>
  </si>
  <si>
    <t>Beginning RM Inventory</t>
  </si>
  <si>
    <t>Beginning FG Inventory</t>
  </si>
  <si>
    <t>Fixed Assets</t>
  </si>
  <si>
    <t>Liabilities</t>
  </si>
  <si>
    <t>Equity</t>
  </si>
  <si>
    <t>Assets</t>
  </si>
  <si>
    <t>Amount</t>
  </si>
  <si>
    <t>Liabilities &amp; Equity</t>
  </si>
  <si>
    <t>Cash</t>
  </si>
  <si>
    <t>Accounts Receivable</t>
  </si>
  <si>
    <t>Raw Materials Inventory</t>
  </si>
  <si>
    <t>Total Liabilities &amp; Equity</t>
  </si>
  <si>
    <t>Finished Goods Inventory</t>
  </si>
  <si>
    <t>Total Assets</t>
  </si>
  <si>
    <t>Quarter</t>
  </si>
  <si>
    <t>MotionPro Units</t>
  </si>
  <si>
    <t>MotionPro Price</t>
  </si>
  <si>
    <t>MotionPro Revenue</t>
  </si>
  <si>
    <t>TempIQ Units</t>
  </si>
  <si>
    <t>TempIQ Price</t>
  </si>
  <si>
    <t>TempIQ Revenue</t>
  </si>
  <si>
    <t>Total Revenue</t>
  </si>
  <si>
    <t>Q1</t>
  </si>
  <si>
    <t>Q2</t>
  </si>
  <si>
    <t>Q3</t>
  </si>
  <si>
    <t>Q4</t>
  </si>
  <si>
    <t>Q1 Y2</t>
  </si>
  <si>
    <t>MotionPro BI</t>
  </si>
  <si>
    <t>MotionPro Production</t>
  </si>
  <si>
    <t>MotionPro Sales</t>
  </si>
  <si>
    <t>MotionPro EI</t>
  </si>
  <si>
    <t>TempIQ BI</t>
  </si>
  <si>
    <t>TempIQ Production</t>
  </si>
  <si>
    <t>TempIQ Sales</t>
  </si>
  <si>
    <t>TempIQ EI</t>
  </si>
  <si>
    <t>MotionPro Chips Needed</t>
  </si>
  <si>
    <t>MotionPro Casings Needed</t>
  </si>
  <si>
    <t>TempIQ Chips Needed</t>
  </si>
  <si>
    <t>TempIQ Casings Needed</t>
  </si>
  <si>
    <t>Total Chips Needed</t>
  </si>
  <si>
    <t>Total Casings Needed</t>
  </si>
  <si>
    <t>Total RM Cost</t>
  </si>
  <si>
    <t>MotionPro Labor Hours</t>
  </si>
  <si>
    <t>MotionPro Labor Cost</t>
  </si>
  <si>
    <t>TempIQ Labor Hours</t>
  </si>
  <si>
    <t>TempIQ Labor Cost</t>
  </si>
  <si>
    <t>Total Labor Hours</t>
  </si>
  <si>
    <t>Total Labor Cost</t>
  </si>
  <si>
    <t>Total Direct Labor Hours</t>
  </si>
  <si>
    <t>Variable OH Rate</t>
  </si>
  <si>
    <t>Variable OH Cost</t>
  </si>
  <si>
    <t>Fixed OH</t>
  </si>
  <si>
    <t>Depreciation</t>
  </si>
  <si>
    <t>Total Factory OH</t>
  </si>
  <si>
    <t>MotionPro Unit Cost</t>
  </si>
  <si>
    <t>MotionPro Ending Units</t>
  </si>
  <si>
    <t>MotionPro EI Value</t>
  </si>
  <si>
    <t>TempIQ Unit Cost</t>
  </si>
  <si>
    <t>TempIQ Ending Units</t>
  </si>
  <si>
    <t>TempIQ EI Value</t>
  </si>
  <si>
    <t>Units Sold</t>
  </si>
  <si>
    <t>Variable Cost per Unit</t>
  </si>
  <si>
    <t>Variable SG&amp;A</t>
  </si>
  <si>
    <t>Fixed SG&amp;A</t>
  </si>
  <si>
    <t>Total SG&amp;A</t>
  </si>
  <si>
    <t>Beginning Cash</t>
  </si>
  <si>
    <t>Cash Inflows</t>
  </si>
  <si>
    <t>RM Payments</t>
  </si>
  <si>
    <t>Labor Payments</t>
  </si>
  <si>
    <t>FOH Payments</t>
  </si>
  <si>
    <t>SG&amp;A Payments</t>
  </si>
  <si>
    <t>Total Cash Outflows</t>
  </si>
  <si>
    <t>Cash Surplus/Deficit</t>
  </si>
  <si>
    <t>Borrowing</t>
  </si>
  <si>
    <t>Ending Cash</t>
  </si>
  <si>
    <t>Revenue</t>
  </si>
  <si>
    <t>COGS</t>
  </si>
  <si>
    <t>Gross Profit</t>
  </si>
  <si>
    <t>SG&amp;A</t>
  </si>
  <si>
    <t>Operating Income</t>
  </si>
  <si>
    <t>Interest Expense</t>
  </si>
  <si>
    <t>Pretax Income</t>
  </si>
  <si>
    <t>Taxes (25%)</t>
  </si>
  <si>
    <t>Net Income</t>
  </si>
  <si>
    <t>Item</t>
  </si>
  <si>
    <t>Fixed Assets (net of depreciation)</t>
  </si>
  <si>
    <t>Accounts Payable</t>
  </si>
  <si>
    <t>Accrued Interest</t>
  </si>
  <si>
    <t>Total Liabilities</t>
  </si>
  <si>
    <t>Equity (Retained Earnings + Capital)</t>
  </si>
  <si>
    <t>Change in AR</t>
  </si>
  <si>
    <t>Change in Inventory</t>
  </si>
  <si>
    <t>Change in AP</t>
  </si>
  <si>
    <t>Cash from Operations</t>
  </si>
  <si>
    <t>Beginning Retained Earnings</t>
  </si>
  <si>
    <t>Dividends Paid</t>
  </si>
  <si>
    <t>Ending Retained Earnings</t>
  </si>
  <si>
    <t>Assumptions</t>
  </si>
  <si>
    <t>Units</t>
  </si>
  <si>
    <t>Topic</t>
  </si>
  <si>
    <t>Balance Sheet</t>
  </si>
  <si>
    <t>MotionPro Req (Chips)</t>
  </si>
  <si>
    <t>MotionPro Req (Casings)</t>
  </si>
  <si>
    <t>TempIQ Req (Chips)</t>
  </si>
  <si>
    <t>TempIQ Req (Casings)</t>
  </si>
  <si>
    <t>Y1 Total</t>
  </si>
  <si>
    <t>Sales Budget</t>
  </si>
  <si>
    <t>Production Budget</t>
  </si>
  <si>
    <t>Raw Materials Budget</t>
  </si>
  <si>
    <t>Direct Labor Budget</t>
  </si>
  <si>
    <t>Factory Overhead Budget</t>
  </si>
  <si>
    <t>Finished Goods Inventory Budget</t>
  </si>
  <si>
    <t>SG&amp;A Budget</t>
  </si>
  <si>
    <t>Cash Budget</t>
  </si>
  <si>
    <t>Income Statement</t>
  </si>
  <si>
    <t>Statement of Retained Earnings</t>
  </si>
  <si>
    <t>Closing Balance Sheet</t>
  </si>
  <si>
    <t>Statement of Cash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</si>
</sst>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/>
    <xf numFmtId="44" fontId="0" fillId="0" borderId="0" xfId="1" applyFont="1" applyAlignment="1">
      <alignment horizontal="center"/>
    </xf>
    <xf numFmtId="44" fontId="0" fillId="0" borderId="0" xfId="1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4" fontId="4" fillId="0" borderId="1" xfId="1" applyFont="1" applyBorder="1" applyAlignment="1">
      <alignment horizontal="center"/>
    </xf>
    <xf numFmtId="44" fontId="0" fillId="0" borderId="0" xfId="1" applyFont="1" applyFill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20" bestFit="1" customWidth="1"/>
    <col min="2" max="2" width="12.1640625" bestFit="1" customWidth="1"/>
  </cols>
  <sheetData>
    <row r="1" spans="1:2" ht="19" x14ac:dyDescent="0.25">
      <c r="A1" s="16" t="s">
        <v>117</v>
      </c>
      <c r="B1" s="16"/>
    </row>
    <row r="2" spans="1:2" x14ac:dyDescent="0.2">
      <c r="A2" s="9" t="s">
        <v>119</v>
      </c>
      <c r="B2" s="10" t="s">
        <v>118</v>
      </c>
    </row>
    <row r="3" spans="1:2" x14ac:dyDescent="0.2">
      <c r="A3" s="3" t="s">
        <v>0</v>
      </c>
      <c r="B3" s="8">
        <v>25</v>
      </c>
    </row>
    <row r="4" spans="1:2" x14ac:dyDescent="0.2">
      <c r="A4" s="3" t="s">
        <v>1</v>
      </c>
      <c r="B4" s="8">
        <v>30</v>
      </c>
    </row>
    <row r="5" spans="1:2" x14ac:dyDescent="0.2">
      <c r="A5" s="3" t="s">
        <v>2</v>
      </c>
      <c r="B5" s="11">
        <v>0.2</v>
      </c>
    </row>
    <row r="6" spans="1:2" x14ac:dyDescent="0.2">
      <c r="A6" s="3" t="s">
        <v>3</v>
      </c>
      <c r="B6" s="11">
        <v>0.3</v>
      </c>
    </row>
    <row r="7" spans="1:2" x14ac:dyDescent="0.2">
      <c r="A7" s="3" t="s">
        <v>4</v>
      </c>
      <c r="B7" s="11">
        <v>0.2</v>
      </c>
    </row>
    <row r="8" spans="1:2" x14ac:dyDescent="0.2">
      <c r="A8" s="3" t="s">
        <v>5</v>
      </c>
      <c r="B8" s="11">
        <v>0.3</v>
      </c>
    </row>
    <row r="9" spans="1:2" x14ac:dyDescent="0.2">
      <c r="A9" s="3" t="s">
        <v>6</v>
      </c>
      <c r="B9" s="11">
        <v>0.6</v>
      </c>
    </row>
    <row r="10" spans="1:2" x14ac:dyDescent="0.2">
      <c r="A10" s="3" t="s">
        <v>7</v>
      </c>
      <c r="B10" s="11">
        <v>0.4</v>
      </c>
    </row>
    <row r="11" spans="1:2" x14ac:dyDescent="0.2">
      <c r="A11" s="3" t="s">
        <v>8</v>
      </c>
      <c r="B11" s="11">
        <v>0.2</v>
      </c>
    </row>
    <row r="12" spans="1:2" x14ac:dyDescent="0.2">
      <c r="A12" s="3" t="s">
        <v>9</v>
      </c>
      <c r="B12" s="11">
        <v>0.1</v>
      </c>
    </row>
    <row r="13" spans="1:2" x14ac:dyDescent="0.2">
      <c r="A13" s="3" t="s">
        <v>10</v>
      </c>
      <c r="B13" s="8">
        <v>2.75</v>
      </c>
    </row>
    <row r="14" spans="1:2" x14ac:dyDescent="0.2">
      <c r="A14" s="3" t="s">
        <v>11</v>
      </c>
      <c r="B14" s="8">
        <v>1.5</v>
      </c>
    </row>
    <row r="15" spans="1:2" x14ac:dyDescent="0.2">
      <c r="A15" s="3" t="s">
        <v>12</v>
      </c>
      <c r="B15" s="6">
        <v>0.5</v>
      </c>
    </row>
    <row r="16" spans="1:2" x14ac:dyDescent="0.2">
      <c r="A16" s="3" t="s">
        <v>13</v>
      </c>
      <c r="B16" s="6">
        <v>0.75</v>
      </c>
    </row>
    <row r="17" spans="1:2" x14ac:dyDescent="0.2">
      <c r="A17" s="3" t="s">
        <v>14</v>
      </c>
      <c r="B17" s="8">
        <v>20</v>
      </c>
    </row>
    <row r="18" spans="1:2" x14ac:dyDescent="0.2">
      <c r="A18" s="3" t="s">
        <v>15</v>
      </c>
      <c r="B18" s="11">
        <v>0.5</v>
      </c>
    </row>
    <row r="19" spans="1:2" x14ac:dyDescent="0.2">
      <c r="A19" s="3" t="s">
        <v>16</v>
      </c>
      <c r="B19" s="6">
        <v>50000</v>
      </c>
    </row>
    <row r="20" spans="1:2" x14ac:dyDescent="0.2">
      <c r="A20" s="3" t="s">
        <v>17</v>
      </c>
      <c r="B20" s="11">
        <v>0.05</v>
      </c>
    </row>
    <row r="21" spans="1:2" x14ac:dyDescent="0.2">
      <c r="A21" s="3" t="s">
        <v>18</v>
      </c>
      <c r="B21" s="8">
        <v>50000</v>
      </c>
    </row>
    <row r="22" spans="1:2" x14ac:dyDescent="0.2">
      <c r="A22" s="3" t="s">
        <v>19</v>
      </c>
      <c r="B22" s="8">
        <v>0</v>
      </c>
    </row>
    <row r="23" spans="1:2" x14ac:dyDescent="0.2">
      <c r="A23" s="3" t="s">
        <v>20</v>
      </c>
      <c r="B23" s="8">
        <v>0</v>
      </c>
    </row>
    <row r="24" spans="1:2" x14ac:dyDescent="0.2">
      <c r="A24" s="3" t="s">
        <v>21</v>
      </c>
      <c r="B24" s="8">
        <v>0</v>
      </c>
    </row>
    <row r="25" spans="1:2" x14ac:dyDescent="0.2">
      <c r="A25" s="3" t="s">
        <v>22</v>
      </c>
      <c r="B25" s="8">
        <v>500000</v>
      </c>
    </row>
    <row r="26" spans="1:2" x14ac:dyDescent="0.2">
      <c r="A26" s="3" t="s">
        <v>23</v>
      </c>
      <c r="B26" s="8">
        <v>0</v>
      </c>
    </row>
    <row r="27" spans="1:2" x14ac:dyDescent="0.2">
      <c r="A27" s="3" t="s">
        <v>24</v>
      </c>
      <c r="B27" s="8">
        <v>550000</v>
      </c>
    </row>
    <row r="28" spans="1:2" x14ac:dyDescent="0.2">
      <c r="A28" s="3" t="s">
        <v>121</v>
      </c>
      <c r="B28" s="6">
        <v>2</v>
      </c>
    </row>
    <row r="29" spans="1:2" x14ac:dyDescent="0.2">
      <c r="A29" s="3" t="s">
        <v>122</v>
      </c>
      <c r="B29" s="6">
        <v>1</v>
      </c>
    </row>
    <row r="30" spans="1:2" x14ac:dyDescent="0.2">
      <c r="A30" s="3" t="s">
        <v>123</v>
      </c>
      <c r="B30" s="6">
        <v>2</v>
      </c>
    </row>
    <row r="31" spans="1:2" x14ac:dyDescent="0.2">
      <c r="A31" s="3" t="s">
        <v>124</v>
      </c>
      <c r="B31" s="6">
        <v>1</v>
      </c>
    </row>
    <row r="32" spans="1:2" x14ac:dyDescent="0.2">
      <c r="B32" s="2"/>
    </row>
  </sheetData>
  <mergeCells count="1">
    <mergeCell ref="A1:B1"/>
  </mergeCell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sqref="A1:E1"/>
    </sheetView>
  </sheetViews>
  <sheetFormatPr baseColWidth="10" defaultColWidth="8.83203125" defaultRowHeight="15" x14ac:dyDescent="0.2"/>
  <cols>
    <col min="1" max="1" width="20.5" bestFit="1" customWidth="1"/>
    <col min="2" max="2" width="12.1640625" bestFit="1" customWidth="1"/>
    <col min="4" max="4" width="19.6640625" bestFit="1" customWidth="1"/>
    <col min="5" max="5" width="12.1640625" bestFit="1" customWidth="1"/>
  </cols>
  <sheetData>
    <row r="1" spans="1:5" ht="24" x14ac:dyDescent="0.3">
      <c r="A1" s="17" t="s">
        <v>120</v>
      </c>
      <c r="B1" s="17"/>
      <c r="C1" s="17"/>
      <c r="D1" s="17"/>
      <c r="E1" s="17"/>
    </row>
    <row r="3" spans="1:5" x14ac:dyDescent="0.2">
      <c r="A3" s="1" t="s">
        <v>25</v>
      </c>
      <c r="B3" s="1" t="s">
        <v>26</v>
      </c>
      <c r="D3" s="1" t="s">
        <v>27</v>
      </c>
      <c r="E3" s="1" t="s">
        <v>26</v>
      </c>
    </row>
    <row r="4" spans="1:5" x14ac:dyDescent="0.2">
      <c r="A4" t="s">
        <v>28</v>
      </c>
      <c r="B4" s="5">
        <v>50000</v>
      </c>
      <c r="D4" t="s">
        <v>23</v>
      </c>
      <c r="E4" s="5">
        <v>0</v>
      </c>
    </row>
    <row r="5" spans="1:5" x14ac:dyDescent="0.2">
      <c r="A5" t="s">
        <v>29</v>
      </c>
      <c r="B5" s="5">
        <v>0</v>
      </c>
      <c r="D5" t="s">
        <v>24</v>
      </c>
      <c r="E5" s="5">
        <v>550000</v>
      </c>
    </row>
    <row r="6" spans="1:5" x14ac:dyDescent="0.2">
      <c r="A6" t="s">
        <v>30</v>
      </c>
      <c r="B6" s="5">
        <f>Assumptions!B22</f>
        <v>0</v>
      </c>
      <c r="D6" t="s">
        <v>31</v>
      </c>
      <c r="E6" s="5">
        <f>SUM(E4:E5)</f>
        <v>550000</v>
      </c>
    </row>
    <row r="7" spans="1:5" x14ac:dyDescent="0.2">
      <c r="A7" t="s">
        <v>32</v>
      </c>
      <c r="B7" s="5">
        <f>Assumptions!B23</f>
        <v>0</v>
      </c>
    </row>
    <row r="8" spans="1:5" x14ac:dyDescent="0.2">
      <c r="A8" t="s">
        <v>22</v>
      </c>
      <c r="B8" s="5">
        <v>500000</v>
      </c>
    </row>
    <row r="9" spans="1:5" x14ac:dyDescent="0.2">
      <c r="A9" t="s">
        <v>33</v>
      </c>
      <c r="B9" s="5">
        <f>SUM(B4:B8)</f>
        <v>550000</v>
      </c>
    </row>
  </sheetData>
  <mergeCells count="1">
    <mergeCell ref="A1:E1"/>
  </mergeCell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C22" sqref="C22"/>
    </sheetView>
  </sheetViews>
  <sheetFormatPr baseColWidth="10" defaultColWidth="8.83203125" defaultRowHeight="15" x14ac:dyDescent="0.2"/>
  <cols>
    <col min="2" max="3" width="14" bestFit="1" customWidth="1"/>
    <col min="4" max="4" width="17" bestFit="1" customWidth="1"/>
    <col min="5" max="6" width="11.6640625" bestFit="1" customWidth="1"/>
    <col min="7" max="7" width="14.5" bestFit="1" customWidth="1"/>
    <col min="8" max="8" width="12.1640625" bestFit="1" customWidth="1"/>
  </cols>
  <sheetData>
    <row r="1" spans="1:8" ht="24" x14ac:dyDescent="0.3">
      <c r="A1" s="15" t="s">
        <v>126</v>
      </c>
      <c r="B1" s="15"/>
      <c r="C1" s="15"/>
      <c r="D1" s="15"/>
      <c r="E1" s="15"/>
      <c r="F1" s="15"/>
      <c r="G1" s="15"/>
      <c r="H1" s="15"/>
    </row>
    <row r="2" spans="1:8" x14ac:dyDescent="0.2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</row>
    <row r="3" spans="1:8" x14ac:dyDescent="0.2">
      <c r="A3" s="3" t="s">
        <v>42</v>
      </c>
      <c r="B3">
        <v>10000</v>
      </c>
      <c r="C3" s="5">
        <f>Assumptions!$B$3</f>
        <v>25</v>
      </c>
      <c r="D3" s="5">
        <f>B3*C3</f>
        <v>250000</v>
      </c>
      <c r="E3">
        <v>8000</v>
      </c>
      <c r="F3" s="5">
        <f>Assumptions!$B$4</f>
        <v>30</v>
      </c>
      <c r="G3" s="4">
        <f>E3*F3</f>
        <v>240000</v>
      </c>
      <c r="H3" s="4">
        <f>G3+D3</f>
        <v>490000</v>
      </c>
    </row>
    <row r="4" spans="1:8" x14ac:dyDescent="0.2">
      <c r="A4" s="3" t="s">
        <v>43</v>
      </c>
      <c r="B4">
        <v>15000</v>
      </c>
      <c r="C4" s="5">
        <f>Assumptions!$B$3</f>
        <v>25</v>
      </c>
      <c r="D4" s="5">
        <f>B4*C4</f>
        <v>375000</v>
      </c>
      <c r="E4">
        <v>10000</v>
      </c>
      <c r="F4" s="5">
        <f>Assumptions!$B$4</f>
        <v>30</v>
      </c>
      <c r="G4" s="4">
        <f>E4*F4</f>
        <v>300000</v>
      </c>
      <c r="H4" s="4">
        <f>G4+D4</f>
        <v>675000</v>
      </c>
    </row>
    <row r="5" spans="1:8" x14ac:dyDescent="0.2">
      <c r="A5" s="3" t="s">
        <v>44</v>
      </c>
      <c r="B5">
        <v>12000</v>
      </c>
      <c r="C5" s="5">
        <f>Assumptions!$B$3</f>
        <v>25</v>
      </c>
      <c r="D5" s="5">
        <f>B5*C5</f>
        <v>300000</v>
      </c>
      <c r="E5">
        <v>9000</v>
      </c>
      <c r="F5" s="5">
        <f>Assumptions!$B$4</f>
        <v>30</v>
      </c>
      <c r="G5" s="4">
        <f>E5*F5</f>
        <v>270000</v>
      </c>
      <c r="H5" s="4">
        <f>G5+D5</f>
        <v>570000</v>
      </c>
    </row>
    <row r="6" spans="1:8" x14ac:dyDescent="0.2">
      <c r="A6" s="3" t="s">
        <v>45</v>
      </c>
      <c r="B6">
        <v>18000</v>
      </c>
      <c r="C6" s="5">
        <f>Assumptions!$B$3</f>
        <v>25</v>
      </c>
      <c r="D6" s="5">
        <f>B6*C6</f>
        <v>450000</v>
      </c>
      <c r="E6">
        <v>12000</v>
      </c>
      <c r="F6" s="5">
        <f>Assumptions!$B$4</f>
        <v>30</v>
      </c>
      <c r="G6" s="4">
        <f>E6*F6</f>
        <v>360000</v>
      </c>
      <c r="H6" s="4">
        <f>G6+D6</f>
        <v>810000</v>
      </c>
    </row>
    <row r="7" spans="1:8" x14ac:dyDescent="0.2">
      <c r="A7" s="3" t="s">
        <v>46</v>
      </c>
      <c r="B7">
        <v>11000</v>
      </c>
      <c r="C7" s="5">
        <f>Assumptions!$B$3</f>
        <v>25</v>
      </c>
      <c r="D7" s="5">
        <f>B7*C7</f>
        <v>275000</v>
      </c>
      <c r="E7">
        <v>9000</v>
      </c>
      <c r="F7" s="5">
        <f>Assumptions!$B$4</f>
        <v>30</v>
      </c>
      <c r="G7" s="4">
        <f>E7*F7</f>
        <v>270000</v>
      </c>
      <c r="H7" s="4">
        <f>G7+D7</f>
        <v>545000</v>
      </c>
    </row>
  </sheetData>
  <mergeCells count="1">
    <mergeCell ref="A1:H1"/>
  </mergeCell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>
      <selection activeCell="J17" sqref="J17"/>
    </sheetView>
  </sheetViews>
  <sheetFormatPr baseColWidth="10" defaultColWidth="8.83203125" defaultRowHeight="15" x14ac:dyDescent="0.2"/>
  <cols>
    <col min="1" max="1" width="7" bestFit="1" customWidth="1"/>
    <col min="2" max="2" width="11.33203125" bestFit="1" customWidth="1"/>
    <col min="3" max="3" width="18.6640625" bestFit="1" customWidth="1"/>
    <col min="4" max="4" width="13.5" bestFit="1" customWidth="1"/>
    <col min="5" max="5" width="11.1640625" bestFit="1" customWidth="1"/>
    <col min="7" max="7" width="16.5" bestFit="1" customWidth="1"/>
    <col min="8" max="8" width="11.5" bestFit="1" customWidth="1"/>
    <col min="9" max="9" width="9" bestFit="1" customWidth="1"/>
  </cols>
  <sheetData>
    <row r="1" spans="1:9" ht="24" x14ac:dyDescent="0.3">
      <c r="A1" s="15" t="s">
        <v>127</v>
      </c>
      <c r="B1" s="15"/>
      <c r="C1" s="15"/>
      <c r="D1" s="15"/>
      <c r="E1" s="15"/>
      <c r="F1" s="15"/>
      <c r="G1" s="15"/>
      <c r="H1" s="15"/>
      <c r="I1" s="15"/>
    </row>
    <row r="2" spans="1:9" x14ac:dyDescent="0.2">
      <c r="A2" s="9" t="s">
        <v>34</v>
      </c>
      <c r="B2" s="9" t="s">
        <v>47</v>
      </c>
      <c r="C2" s="9" t="s">
        <v>48</v>
      </c>
      <c r="D2" s="9" t="s">
        <v>49</v>
      </c>
      <c r="E2" s="9" t="s">
        <v>50</v>
      </c>
      <c r="F2" s="9" t="s">
        <v>51</v>
      </c>
      <c r="G2" s="9" t="s">
        <v>52</v>
      </c>
      <c r="H2" s="9" t="s">
        <v>53</v>
      </c>
      <c r="I2" s="9" t="s">
        <v>54</v>
      </c>
    </row>
    <row r="3" spans="1:9" x14ac:dyDescent="0.2">
      <c r="A3" s="3" t="s">
        <v>42</v>
      </c>
      <c r="B3" s="2">
        <v>0</v>
      </c>
      <c r="C3" s="2">
        <f>D3+E3-B3</f>
        <v>13000</v>
      </c>
      <c r="D3" s="4">
        <f>'Sales Budget'!B3</f>
        <v>10000</v>
      </c>
      <c r="E3" s="2">
        <f>'Sales Budget'!B4*Assumptions!B11</f>
        <v>3000</v>
      </c>
      <c r="F3" s="2">
        <v>0</v>
      </c>
      <c r="G3" s="2">
        <f>H3+I3-F3</f>
        <v>10000</v>
      </c>
      <c r="H3" s="4">
        <f>'Sales Budget'!E3</f>
        <v>8000</v>
      </c>
      <c r="I3" s="2">
        <f>'Sales Budget'!E4*Assumptions!B11</f>
        <v>2000</v>
      </c>
    </row>
    <row r="4" spans="1:9" x14ac:dyDescent="0.2">
      <c r="A4" s="3" t="s">
        <v>43</v>
      </c>
      <c r="B4" s="2">
        <f>E3</f>
        <v>3000</v>
      </c>
      <c r="C4" s="2">
        <f>D4+E4-B4</f>
        <v>14400</v>
      </c>
      <c r="D4" s="4">
        <f>'Sales Budget'!B4</f>
        <v>15000</v>
      </c>
      <c r="E4" s="2">
        <f>'Sales Budget'!B5*Assumptions!B11</f>
        <v>2400</v>
      </c>
      <c r="F4" s="2">
        <f>I3</f>
        <v>2000</v>
      </c>
      <c r="G4" s="2">
        <f>H4+I4-F4</f>
        <v>9800</v>
      </c>
      <c r="H4" s="4">
        <f>'Sales Budget'!E4</f>
        <v>10000</v>
      </c>
      <c r="I4" s="2">
        <f>'Sales Budget'!E5*Assumptions!B11</f>
        <v>1800</v>
      </c>
    </row>
    <row r="5" spans="1:9" x14ac:dyDescent="0.2">
      <c r="A5" s="3" t="s">
        <v>44</v>
      </c>
      <c r="B5" s="2">
        <f>E4</f>
        <v>2400</v>
      </c>
      <c r="C5" s="2">
        <f>D5+E5-B5</f>
        <v>13200</v>
      </c>
      <c r="D5" s="4">
        <f>'Sales Budget'!B5</f>
        <v>12000</v>
      </c>
      <c r="E5" s="2">
        <f>'Sales Budget'!B6*Assumptions!B11</f>
        <v>3600</v>
      </c>
      <c r="F5" s="2">
        <f>I4</f>
        <v>1800</v>
      </c>
      <c r="G5" s="2">
        <f>H5+I5-F5</f>
        <v>9600</v>
      </c>
      <c r="H5" s="4">
        <f>'Sales Budget'!E5</f>
        <v>9000</v>
      </c>
      <c r="I5" s="2">
        <f>'Sales Budget'!E6*Assumptions!B11</f>
        <v>2400</v>
      </c>
    </row>
    <row r="6" spans="1:9" x14ac:dyDescent="0.2">
      <c r="A6" s="3" t="s">
        <v>45</v>
      </c>
      <c r="B6" s="2">
        <f>E5</f>
        <v>3600</v>
      </c>
      <c r="C6" s="2">
        <f>D6+E6-B6</f>
        <v>16600</v>
      </c>
      <c r="D6" s="4">
        <f>'Sales Budget'!B6</f>
        <v>18000</v>
      </c>
      <c r="E6" s="2">
        <f>'Sales Budget'!B7*Assumptions!B11</f>
        <v>2200</v>
      </c>
      <c r="F6" s="2">
        <f>I5</f>
        <v>2400</v>
      </c>
      <c r="G6" s="2">
        <f>H6+I6-F6</f>
        <v>11400</v>
      </c>
      <c r="H6" s="4">
        <f>'Sales Budget'!E6</f>
        <v>12000</v>
      </c>
      <c r="I6" s="2">
        <f>'Sales Budget'!E7*Assumptions!B11</f>
        <v>1800</v>
      </c>
    </row>
  </sheetData>
  <mergeCells count="1">
    <mergeCell ref="A1:I1"/>
  </mergeCell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selection activeCell="F20" sqref="F20"/>
    </sheetView>
  </sheetViews>
  <sheetFormatPr baseColWidth="10" defaultColWidth="8.83203125" defaultRowHeight="15" x14ac:dyDescent="0.2"/>
  <cols>
    <col min="1" max="1" width="7" bestFit="1" customWidth="1"/>
    <col min="2" max="2" width="20.83203125" bestFit="1" customWidth="1"/>
    <col min="3" max="3" width="22.33203125" bestFit="1" customWidth="1"/>
    <col min="4" max="4" width="18.5" bestFit="1" customWidth="1"/>
    <col min="5" max="5" width="19.83203125" bestFit="1" customWidth="1"/>
    <col min="6" max="6" width="15.5" bestFit="1" customWidth="1"/>
    <col min="7" max="7" width="17" bestFit="1" customWidth="1"/>
    <col min="8" max="8" width="12.1640625" bestFit="1" customWidth="1"/>
    <col min="9" max="9" width="11.1640625" bestFit="1" customWidth="1"/>
    <col min="10" max="10" width="12.1640625" bestFit="1" customWidth="1"/>
  </cols>
  <sheetData>
    <row r="1" spans="1:10" ht="24" x14ac:dyDescent="0.3">
      <c r="A1" s="15" t="s">
        <v>128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">
      <c r="A2" s="9" t="s">
        <v>34</v>
      </c>
      <c r="B2" s="9" t="s">
        <v>55</v>
      </c>
      <c r="C2" s="9" t="s">
        <v>56</v>
      </c>
      <c r="D2" s="9" t="s">
        <v>57</v>
      </c>
      <c r="E2" s="9" t="s">
        <v>58</v>
      </c>
      <c r="F2" s="9" t="s">
        <v>59</v>
      </c>
      <c r="G2" s="9" t="s">
        <v>60</v>
      </c>
      <c r="H2" s="9" t="s">
        <v>10</v>
      </c>
      <c r="I2" s="9" t="s">
        <v>11</v>
      </c>
      <c r="J2" s="9" t="s">
        <v>61</v>
      </c>
    </row>
    <row r="3" spans="1:10" x14ac:dyDescent="0.2">
      <c r="A3" s="3" t="s">
        <v>42</v>
      </c>
      <c r="B3" s="2">
        <f>'Production Budget'!C3*Assumptions!$B$28</f>
        <v>26000</v>
      </c>
      <c r="C3" s="2">
        <f>('Production Budget'!C3*Assumptions!$B$29)</f>
        <v>13000</v>
      </c>
      <c r="D3" s="2">
        <f>('Production Budget'!G3*Assumptions!$B$30)</f>
        <v>20000</v>
      </c>
      <c r="E3" s="2">
        <f>('Production Budget'!G3*Assumptions!$B$31)</f>
        <v>10000</v>
      </c>
      <c r="F3" s="2">
        <f>B3+D3</f>
        <v>46000</v>
      </c>
      <c r="G3" s="2">
        <f t="shared" ref="F3:G6" si="0">C3+E3</f>
        <v>23000</v>
      </c>
      <c r="H3" s="14">
        <f>F3*Assumptions!B13</f>
        <v>126500</v>
      </c>
      <c r="I3" s="14">
        <f>G3*Assumptions!B14</f>
        <v>34500</v>
      </c>
      <c r="J3" s="14">
        <f>H3+I3</f>
        <v>161000</v>
      </c>
    </row>
    <row r="4" spans="1:10" x14ac:dyDescent="0.2">
      <c r="A4" s="3" t="s">
        <v>43</v>
      </c>
      <c r="B4" s="2">
        <f>'Production Budget'!C4*Assumptions!$B$28</f>
        <v>28800</v>
      </c>
      <c r="C4" s="2">
        <f>('Production Budget'!C4*Assumptions!$B$29)</f>
        <v>14400</v>
      </c>
      <c r="D4" s="2">
        <f>('Production Budget'!G4*Assumptions!$B$30)</f>
        <v>19600</v>
      </c>
      <c r="E4" s="2">
        <f>('Production Budget'!G4*Assumptions!$B$31)</f>
        <v>9800</v>
      </c>
      <c r="F4" s="2">
        <f t="shared" si="0"/>
        <v>48400</v>
      </c>
      <c r="G4" s="2">
        <f t="shared" si="0"/>
        <v>24200</v>
      </c>
      <c r="H4" s="14">
        <f>F4*Assumptions!B13</f>
        <v>133100</v>
      </c>
      <c r="I4" s="14">
        <f>G4*Assumptions!B14</f>
        <v>36300</v>
      </c>
      <c r="J4" s="14">
        <f>H4+I4</f>
        <v>169400</v>
      </c>
    </row>
    <row r="5" spans="1:10" x14ac:dyDescent="0.2">
      <c r="A5" s="3" t="s">
        <v>44</v>
      </c>
      <c r="B5" s="2">
        <f>'Production Budget'!C5*Assumptions!$B$28</f>
        <v>26400</v>
      </c>
      <c r="C5" s="2">
        <f>('Production Budget'!C5*Assumptions!$B$29)</f>
        <v>13200</v>
      </c>
      <c r="D5" s="2">
        <f>('Production Budget'!G5*Assumptions!$B$30)</f>
        <v>19200</v>
      </c>
      <c r="E5" s="2">
        <f>('Production Budget'!G5*Assumptions!$B$31)</f>
        <v>9600</v>
      </c>
      <c r="F5" s="2">
        <f t="shared" si="0"/>
        <v>45600</v>
      </c>
      <c r="G5" s="2">
        <f t="shared" si="0"/>
        <v>22800</v>
      </c>
      <c r="H5" s="14">
        <f>F5*Assumptions!B13</f>
        <v>125400</v>
      </c>
      <c r="I5" s="14">
        <f>G5*Assumptions!B14</f>
        <v>34200</v>
      </c>
      <c r="J5" s="14">
        <f>H5+I5</f>
        <v>159600</v>
      </c>
    </row>
    <row r="6" spans="1:10" x14ac:dyDescent="0.2">
      <c r="A6" s="3" t="s">
        <v>45</v>
      </c>
      <c r="B6" s="2">
        <f>'Production Budget'!C6*Assumptions!$B$28</f>
        <v>33200</v>
      </c>
      <c r="C6" s="2">
        <f>('Production Budget'!C6*Assumptions!$B$29)</f>
        <v>16600</v>
      </c>
      <c r="D6" s="2">
        <f>('Production Budget'!G6*Assumptions!$B$30)</f>
        <v>22800</v>
      </c>
      <c r="E6" s="2">
        <f>('Production Budget'!G6*Assumptions!$B$31)</f>
        <v>11400</v>
      </c>
      <c r="F6" s="2">
        <f t="shared" si="0"/>
        <v>56000</v>
      </c>
      <c r="G6" s="2">
        <f t="shared" si="0"/>
        <v>28000</v>
      </c>
      <c r="H6" s="14">
        <f>F6*Assumptions!B13</f>
        <v>154000</v>
      </c>
      <c r="I6" s="14">
        <f>G6*Assumptions!B14</f>
        <v>42000</v>
      </c>
      <c r="J6" s="14">
        <f>H6+I6</f>
        <v>196000</v>
      </c>
    </row>
  </sheetData>
  <mergeCells count="1">
    <mergeCell ref="A1:J1"/>
  </mergeCell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"/>
  <sheetViews>
    <sheetView workbookViewId="0">
      <selection activeCell="F11" sqref="F11"/>
    </sheetView>
  </sheetViews>
  <sheetFormatPr baseColWidth="10" defaultColWidth="8.83203125" defaultRowHeight="15" x14ac:dyDescent="0.2"/>
  <cols>
    <col min="2" max="2" width="18.6640625" bestFit="1" customWidth="1"/>
    <col min="3" max="3" width="18.5" bestFit="1" customWidth="1"/>
    <col min="4" max="4" width="19.1640625" bestFit="1" customWidth="1"/>
    <col min="5" max="5" width="18" bestFit="1" customWidth="1"/>
    <col min="6" max="6" width="16" bestFit="1" customWidth="1"/>
    <col min="7" max="7" width="15.83203125" bestFit="1" customWidth="1"/>
    <col min="8" max="8" width="16.6640625" bestFit="1" customWidth="1"/>
    <col min="9" max="9" width="15.33203125" bestFit="1" customWidth="1"/>
    <col min="10" max="10" width="14.5" bestFit="1" customWidth="1"/>
    <col min="11" max="11" width="13.33203125" bestFit="1" customWidth="1"/>
  </cols>
  <sheetData>
    <row r="1" spans="1:11" ht="24" x14ac:dyDescent="0.3">
      <c r="A1" s="15" t="s">
        <v>129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">
      <c r="A2" s="9" t="s">
        <v>34</v>
      </c>
      <c r="B2" s="9" t="s">
        <v>48</v>
      </c>
      <c r="C2" s="9" t="s">
        <v>12</v>
      </c>
      <c r="D2" s="9" t="s">
        <v>62</v>
      </c>
      <c r="E2" s="9" t="s">
        <v>63</v>
      </c>
      <c r="F2" s="9" t="s">
        <v>52</v>
      </c>
      <c r="G2" s="9" t="s">
        <v>13</v>
      </c>
      <c r="H2" s="9" t="s">
        <v>64</v>
      </c>
      <c r="I2" s="9" t="s">
        <v>65</v>
      </c>
      <c r="J2" s="9" t="s">
        <v>66</v>
      </c>
      <c r="K2" s="9" t="s">
        <v>67</v>
      </c>
    </row>
    <row r="3" spans="1:11" x14ac:dyDescent="0.2">
      <c r="A3" s="3" t="s">
        <v>42</v>
      </c>
      <c r="B3" s="2">
        <f>'Production Budget'!C3</f>
        <v>13000</v>
      </c>
      <c r="C3" s="2">
        <f>Assumptions!B15</f>
        <v>0.5</v>
      </c>
      <c r="D3" s="2">
        <f>B3*C3</f>
        <v>6500</v>
      </c>
      <c r="E3" s="4">
        <f>D3*Assumptions!B17</f>
        <v>130000</v>
      </c>
      <c r="F3" s="2">
        <f>'Production Budget'!G3</f>
        <v>10000</v>
      </c>
      <c r="G3" s="2">
        <f>Assumptions!B16</f>
        <v>0.75</v>
      </c>
      <c r="H3" s="2">
        <f>F3*G3</f>
        <v>7500</v>
      </c>
      <c r="I3" s="4">
        <f>H3*Assumptions!B17</f>
        <v>150000</v>
      </c>
      <c r="J3" s="2">
        <f t="shared" ref="J3:K6" si="0">D3+H3</f>
        <v>14000</v>
      </c>
      <c r="K3" s="4">
        <f t="shared" si="0"/>
        <v>280000</v>
      </c>
    </row>
    <row r="4" spans="1:11" x14ac:dyDescent="0.2">
      <c r="A4" s="3" t="s">
        <v>43</v>
      </c>
      <c r="B4" s="2">
        <f>'Production Budget'!C4</f>
        <v>14400</v>
      </c>
      <c r="C4" s="2">
        <f>Assumptions!B15</f>
        <v>0.5</v>
      </c>
      <c r="D4" s="2">
        <f>B4*C4</f>
        <v>7200</v>
      </c>
      <c r="E4" s="4">
        <f>D4*Assumptions!B17</f>
        <v>144000</v>
      </c>
      <c r="F4" s="2">
        <f>'Production Budget'!G4</f>
        <v>9800</v>
      </c>
      <c r="G4" s="2">
        <f>Assumptions!B16</f>
        <v>0.75</v>
      </c>
      <c r="H4" s="2">
        <f>F4*G4</f>
        <v>7350</v>
      </c>
      <c r="I4" s="4">
        <f>H4*Assumptions!B17</f>
        <v>147000</v>
      </c>
      <c r="J4" s="2">
        <f t="shared" si="0"/>
        <v>14550</v>
      </c>
      <c r="K4" s="4">
        <f t="shared" si="0"/>
        <v>291000</v>
      </c>
    </row>
    <row r="5" spans="1:11" x14ac:dyDescent="0.2">
      <c r="A5" s="3" t="s">
        <v>44</v>
      </c>
      <c r="B5" s="2">
        <f>'Production Budget'!C5</f>
        <v>13200</v>
      </c>
      <c r="C5" s="2">
        <f>Assumptions!B15</f>
        <v>0.5</v>
      </c>
      <c r="D5" s="2">
        <f>B5*C5</f>
        <v>6600</v>
      </c>
      <c r="E5" s="4">
        <f>D5*Assumptions!B17</f>
        <v>132000</v>
      </c>
      <c r="F5" s="2">
        <f>'Production Budget'!G5</f>
        <v>9600</v>
      </c>
      <c r="G5" s="2">
        <f>Assumptions!B16</f>
        <v>0.75</v>
      </c>
      <c r="H5" s="2">
        <f>F5*G5</f>
        <v>7200</v>
      </c>
      <c r="I5" s="4">
        <f>H5*Assumptions!B17</f>
        <v>144000</v>
      </c>
      <c r="J5" s="2">
        <f t="shared" si="0"/>
        <v>13800</v>
      </c>
      <c r="K5" s="4">
        <f t="shared" si="0"/>
        <v>276000</v>
      </c>
    </row>
    <row r="6" spans="1:11" x14ac:dyDescent="0.2">
      <c r="A6" s="3" t="s">
        <v>45</v>
      </c>
      <c r="B6" s="2">
        <f>'Production Budget'!C6</f>
        <v>16600</v>
      </c>
      <c r="C6" s="2">
        <f>Assumptions!B15</f>
        <v>0.5</v>
      </c>
      <c r="D6" s="2">
        <f>B6*C6</f>
        <v>8300</v>
      </c>
      <c r="E6" s="4">
        <f>D6*Assumptions!B17</f>
        <v>166000</v>
      </c>
      <c r="F6" s="2">
        <f>'Production Budget'!G6</f>
        <v>11400</v>
      </c>
      <c r="G6" s="2">
        <f>Assumptions!B16</f>
        <v>0.75</v>
      </c>
      <c r="H6" s="2">
        <f>F6*G6</f>
        <v>8550</v>
      </c>
      <c r="I6" s="4">
        <f>H6*Assumptions!B17</f>
        <v>171000</v>
      </c>
      <c r="J6" s="2">
        <f t="shared" si="0"/>
        <v>16850</v>
      </c>
      <c r="K6" s="4">
        <f t="shared" si="0"/>
        <v>337000</v>
      </c>
    </row>
  </sheetData>
  <mergeCells count="1">
    <mergeCell ref="A1:K1"/>
  </mergeCell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>
      <selection activeCell="E18" sqref="E18"/>
    </sheetView>
  </sheetViews>
  <sheetFormatPr baseColWidth="10" defaultColWidth="8.83203125" defaultRowHeight="15" x14ac:dyDescent="0.2"/>
  <cols>
    <col min="2" max="2" width="19.6640625" bestFit="1" customWidth="1"/>
    <col min="3" max="4" width="13.83203125" bestFit="1" customWidth="1"/>
    <col min="5" max="6" width="11.1640625" bestFit="1" customWidth="1"/>
    <col min="7" max="7" width="13.83203125" bestFit="1" customWidth="1"/>
  </cols>
  <sheetData>
    <row r="1" spans="1:7" ht="24" x14ac:dyDescent="0.3">
      <c r="A1" s="15" t="s">
        <v>130</v>
      </c>
      <c r="B1" s="15"/>
      <c r="C1" s="15"/>
      <c r="D1" s="15"/>
      <c r="E1" s="15"/>
      <c r="F1" s="15"/>
      <c r="G1" s="15"/>
    </row>
    <row r="2" spans="1:7" x14ac:dyDescent="0.2">
      <c r="A2" s="9" t="s">
        <v>34</v>
      </c>
      <c r="B2" s="9" t="s">
        <v>68</v>
      </c>
      <c r="C2" s="9" t="s">
        <v>69</v>
      </c>
      <c r="D2" s="9" t="s">
        <v>70</v>
      </c>
      <c r="E2" s="9" t="s">
        <v>71</v>
      </c>
      <c r="F2" s="9" t="s">
        <v>72</v>
      </c>
      <c r="G2" s="9" t="s">
        <v>73</v>
      </c>
    </row>
    <row r="3" spans="1:7" x14ac:dyDescent="0.2">
      <c r="A3" s="3" t="s">
        <v>42</v>
      </c>
      <c r="B3" s="2">
        <f>'Direct Labor Budget'!J3</f>
        <v>14000</v>
      </c>
      <c r="C3" s="4">
        <v>5</v>
      </c>
      <c r="D3" s="4">
        <f>B3*C3</f>
        <v>70000</v>
      </c>
      <c r="E3" s="4">
        <v>75000</v>
      </c>
      <c r="F3" s="4">
        <f>Assumptions!B25*10%/4</f>
        <v>12500</v>
      </c>
      <c r="G3" s="4">
        <f>D3+E3+F3</f>
        <v>157500</v>
      </c>
    </row>
    <row r="4" spans="1:7" x14ac:dyDescent="0.2">
      <c r="A4" s="3" t="s">
        <v>43</v>
      </c>
      <c r="B4" s="2">
        <f>'Direct Labor Budget'!J4</f>
        <v>14550</v>
      </c>
      <c r="C4" s="4">
        <v>5</v>
      </c>
      <c r="D4" s="4">
        <f>B4*C4</f>
        <v>72750</v>
      </c>
      <c r="E4" s="4">
        <v>75000</v>
      </c>
      <c r="F4" s="4">
        <f>Assumptions!B25*10%/4</f>
        <v>12500</v>
      </c>
      <c r="G4" s="4">
        <f>D4+E4+F4</f>
        <v>160250</v>
      </c>
    </row>
    <row r="5" spans="1:7" x14ac:dyDescent="0.2">
      <c r="A5" s="3" t="s">
        <v>44</v>
      </c>
      <c r="B5" s="2">
        <f>'Direct Labor Budget'!J5</f>
        <v>13800</v>
      </c>
      <c r="C5" s="4">
        <v>5</v>
      </c>
      <c r="D5" s="4">
        <f>B5*C5</f>
        <v>69000</v>
      </c>
      <c r="E5" s="4">
        <v>75000</v>
      </c>
      <c r="F5" s="4">
        <f>Assumptions!B25*10%/4</f>
        <v>12500</v>
      </c>
      <c r="G5" s="4">
        <f>D5+E5+F5</f>
        <v>156500</v>
      </c>
    </row>
    <row r="6" spans="1:7" x14ac:dyDescent="0.2">
      <c r="A6" s="3" t="s">
        <v>45</v>
      </c>
      <c r="B6" s="2">
        <f>'Direct Labor Budget'!J6</f>
        <v>16850</v>
      </c>
      <c r="C6" s="4">
        <v>5</v>
      </c>
      <c r="D6" s="4">
        <f>B6*C6</f>
        <v>84250</v>
      </c>
      <c r="E6" s="4">
        <v>75000</v>
      </c>
      <c r="F6" s="4">
        <f>Assumptions!B25*10%/4</f>
        <v>12500</v>
      </c>
      <c r="G6" s="4">
        <f>D6+E6+F6</f>
        <v>171750</v>
      </c>
    </row>
  </sheetData>
  <mergeCells count="1">
    <mergeCell ref="A1:G1"/>
  </mergeCells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activeCell="F18" sqref="F18"/>
    </sheetView>
  </sheetViews>
  <sheetFormatPr baseColWidth="10" defaultColWidth="8.83203125" defaultRowHeight="15" x14ac:dyDescent="0.2"/>
  <cols>
    <col min="1" max="1" width="7" bestFit="1" customWidth="1"/>
    <col min="2" max="2" width="17" bestFit="1" customWidth="1"/>
    <col min="3" max="3" width="19.5" bestFit="1" customWidth="1"/>
    <col min="4" max="4" width="15.6640625" bestFit="1" customWidth="1"/>
    <col min="5" max="5" width="14.33203125" bestFit="1" customWidth="1"/>
    <col min="6" max="6" width="17" bestFit="1" customWidth="1"/>
    <col min="7" max="7" width="13.1640625" bestFit="1" customWidth="1"/>
  </cols>
  <sheetData>
    <row r="1" spans="1:7" ht="24" x14ac:dyDescent="0.3">
      <c r="A1" s="15" t="s">
        <v>131</v>
      </c>
      <c r="B1" s="15"/>
      <c r="C1" s="15"/>
      <c r="D1" s="15"/>
      <c r="E1" s="15"/>
      <c r="F1" s="15"/>
      <c r="G1" s="15"/>
    </row>
    <row r="2" spans="1:7" x14ac:dyDescent="0.2">
      <c r="A2" s="9" t="s">
        <v>34</v>
      </c>
      <c r="B2" s="9" t="s">
        <v>74</v>
      </c>
      <c r="C2" s="9" t="s">
        <v>75</v>
      </c>
      <c r="D2" s="9" t="s">
        <v>76</v>
      </c>
      <c r="E2" s="9" t="s">
        <v>77</v>
      </c>
      <c r="F2" s="9" t="s">
        <v>78</v>
      </c>
      <c r="G2" s="9" t="s">
        <v>79</v>
      </c>
    </row>
    <row r="3" spans="1:7" x14ac:dyDescent="0.2">
      <c r="A3" s="3" t="s">
        <v>42</v>
      </c>
      <c r="B3" s="14">
        <f>(Assumptions!$B$28*Assumptions!$B$13)+(Assumptions!$B$29*Assumptions!$B$14)+(Assumptions!$B$15*Assumptions!$B$17)+(Assumptions!$B$15*5)+('Factory Overhead Budget'!$E$3/('Production Budget'!C3+'Production Budget'!G3))</f>
        <v>22.760869565217391</v>
      </c>
      <c r="C3" s="2">
        <f>'Production Budget'!E3</f>
        <v>3000</v>
      </c>
      <c r="D3" s="14">
        <f>B3*C3</f>
        <v>68282.608695652176</v>
      </c>
      <c r="E3" s="14">
        <f>(Assumptions!$B$28*Assumptions!$B$13)+(Assumptions!$B$31*Assumptions!$B$14)+(Assumptions!$B$16*Assumptions!$B$17)+(Assumptions!$B$16*5)+('Factory Overhead Budget'!$E$3/('Production Budget'!C3+'Production Budget'!G3))</f>
        <v>29.010869565217391</v>
      </c>
      <c r="F3" s="2">
        <f>'Production Budget'!I3</f>
        <v>2000</v>
      </c>
      <c r="G3" s="14">
        <f>E3*F3</f>
        <v>58021.739130434784</v>
      </c>
    </row>
    <row r="4" spans="1:7" x14ac:dyDescent="0.2">
      <c r="A4" s="3" t="s">
        <v>43</v>
      </c>
      <c r="B4" s="14">
        <f>(Assumptions!$B$28*Assumptions!$B$13)+(Assumptions!$B$29*Assumptions!$B$14)+(Assumptions!$B$15*Assumptions!$B$17)+(Assumptions!$B$15*5)+('Factory Overhead Budget'!$E$3/('Production Budget'!C4+'Production Budget'!G4))</f>
        <v>22.599173553719009</v>
      </c>
      <c r="C4" s="2">
        <f>'Production Budget'!E4</f>
        <v>2400</v>
      </c>
      <c r="D4" s="14">
        <f>B4*C4</f>
        <v>54238.016528925618</v>
      </c>
      <c r="E4" s="14">
        <f>(Assumptions!$B$28*Assumptions!$B$13)+(Assumptions!$B$31*Assumptions!$B$14)+(Assumptions!$B$16*Assumptions!$B$17)+(Assumptions!$B$16*5)+('Factory Overhead Budget'!$E$3/('Production Budget'!C4+'Production Budget'!G4))</f>
        <v>28.849173553719009</v>
      </c>
      <c r="F4" s="2">
        <f>'Production Budget'!I4</f>
        <v>1800</v>
      </c>
      <c r="G4" s="14">
        <f>E4*F4</f>
        <v>51928.512396694219</v>
      </c>
    </row>
    <row r="5" spans="1:7" x14ac:dyDescent="0.2">
      <c r="A5" s="3" t="s">
        <v>44</v>
      </c>
      <c r="B5" s="14">
        <f>(Assumptions!$B$28*Assumptions!$B$13)+(Assumptions!$B$29*Assumptions!$B$14)+(Assumptions!$B$15*Assumptions!$B$17)+(Assumptions!$B$15*5)+('Factory Overhead Budget'!$E$3/('Production Budget'!C5+'Production Budget'!G5))</f>
        <v>22.789473684210527</v>
      </c>
      <c r="C5" s="2">
        <f>'Production Budget'!E5</f>
        <v>3600</v>
      </c>
      <c r="D5" s="14">
        <f>B5*C5</f>
        <v>82042.105263157893</v>
      </c>
      <c r="E5" s="14">
        <f>(Assumptions!$B$28*Assumptions!$B$13)+(Assumptions!$B$31*Assumptions!$B$14)+(Assumptions!$B$16*Assumptions!$B$17)+(Assumptions!$B$16*5)+('Factory Overhead Budget'!$E$3/('Production Budget'!C5+'Production Budget'!G5))</f>
        <v>29.039473684210527</v>
      </c>
      <c r="F5" s="2">
        <f>'Production Budget'!I5</f>
        <v>2400</v>
      </c>
      <c r="G5" s="14">
        <f>E5*F5</f>
        <v>69694.736842105267</v>
      </c>
    </row>
    <row r="6" spans="1:7" x14ac:dyDescent="0.2">
      <c r="A6" s="3" t="s">
        <v>45</v>
      </c>
      <c r="B6" s="14">
        <f>(Assumptions!$B$28*Assumptions!$B$13)+(Assumptions!$B$29*Assumptions!$B$14)+(Assumptions!$B$15*Assumptions!$B$17)+(Assumptions!$B$15*5)+('Factory Overhead Budget'!$E$3/('Production Budget'!C6+'Production Budget'!G6))</f>
        <v>22.178571428571427</v>
      </c>
      <c r="C6" s="2">
        <f>'Production Budget'!E6</f>
        <v>2200</v>
      </c>
      <c r="D6" s="14">
        <f>B6*C6</f>
        <v>48792.857142857138</v>
      </c>
      <c r="E6" s="14">
        <f>(Assumptions!$B$28*Assumptions!$B$13)+(Assumptions!$B$31*Assumptions!$B$14)+(Assumptions!$B$16*Assumptions!$B$17)+(Assumptions!$B$16*5)+('Factory Overhead Budget'!$E$3/('Production Budget'!C6+'Production Budget'!G6))</f>
        <v>28.428571428571427</v>
      </c>
      <c r="F6" s="2">
        <f>'Production Budget'!I6</f>
        <v>1800</v>
      </c>
      <c r="G6" s="14">
        <f>E6*F6</f>
        <v>51171.428571428565</v>
      </c>
    </row>
  </sheetData>
  <mergeCells count="1">
    <mergeCell ref="A1:G1"/>
  </mergeCells>
  <pageMargins left="0.75" right="0.75" top="1" bottom="1" header="0.5" footer="0.5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>
      <selection activeCell="I14" sqref="I14"/>
    </sheetView>
  </sheetViews>
  <sheetFormatPr baseColWidth="10" defaultColWidth="8.83203125" defaultRowHeight="15" x14ac:dyDescent="0.2"/>
  <cols>
    <col min="1" max="1" width="7" bestFit="1" customWidth="1"/>
    <col min="3" max="3" width="17.6640625" bestFit="1" customWidth="1"/>
    <col min="4" max="4" width="12.1640625" bestFit="1" customWidth="1"/>
    <col min="5" max="5" width="11.1640625" bestFit="1" customWidth="1"/>
    <col min="6" max="6" width="12.1640625" bestFit="1" customWidth="1"/>
  </cols>
  <sheetData>
    <row r="1" spans="1:6" ht="24" x14ac:dyDescent="0.3">
      <c r="A1" s="15" t="s">
        <v>132</v>
      </c>
      <c r="B1" s="15"/>
      <c r="C1" s="15"/>
      <c r="D1" s="15"/>
      <c r="E1" s="15"/>
      <c r="F1" s="15"/>
    </row>
    <row r="2" spans="1:6" x14ac:dyDescent="0.2">
      <c r="A2" s="9" t="s">
        <v>34</v>
      </c>
      <c r="B2" s="9" t="s">
        <v>80</v>
      </c>
      <c r="C2" s="9" t="s">
        <v>81</v>
      </c>
      <c r="D2" s="9" t="s">
        <v>82</v>
      </c>
      <c r="E2" s="9" t="s">
        <v>83</v>
      </c>
      <c r="F2" s="9" t="s">
        <v>84</v>
      </c>
    </row>
    <row r="3" spans="1:6" x14ac:dyDescent="0.2">
      <c r="A3" s="3" t="s">
        <v>42</v>
      </c>
      <c r="B3" s="2">
        <f>'Sales Budget'!B3+'Sales Budget'!E3</f>
        <v>18000</v>
      </c>
      <c r="C3" s="4">
        <v>2</v>
      </c>
      <c r="D3" s="4">
        <f>B3*C3</f>
        <v>36000</v>
      </c>
      <c r="E3" s="4">
        <v>50000</v>
      </c>
      <c r="F3" s="4">
        <f>D3+E3</f>
        <v>86000</v>
      </c>
    </row>
    <row r="4" spans="1:6" x14ac:dyDescent="0.2">
      <c r="A4" s="3" t="s">
        <v>43</v>
      </c>
      <c r="B4" s="2">
        <f>'Sales Budget'!B4+'Sales Budget'!E4</f>
        <v>25000</v>
      </c>
      <c r="C4" s="4">
        <v>2</v>
      </c>
      <c r="D4" s="4">
        <f>B4*C4</f>
        <v>50000</v>
      </c>
      <c r="E4" s="4">
        <v>50000</v>
      </c>
      <c r="F4" s="4">
        <f>D4+E4</f>
        <v>100000</v>
      </c>
    </row>
    <row r="5" spans="1:6" x14ac:dyDescent="0.2">
      <c r="A5" s="3" t="s">
        <v>44</v>
      </c>
      <c r="B5" s="2">
        <f>'Sales Budget'!B5+'Sales Budget'!E5</f>
        <v>21000</v>
      </c>
      <c r="C5" s="4">
        <v>2</v>
      </c>
      <c r="D5" s="4">
        <f>B5*C5</f>
        <v>42000</v>
      </c>
      <c r="E5" s="4">
        <v>50000</v>
      </c>
      <c r="F5" s="4">
        <f>D5+E5</f>
        <v>92000</v>
      </c>
    </row>
    <row r="6" spans="1:6" x14ac:dyDescent="0.2">
      <c r="A6" s="3" t="s">
        <v>45</v>
      </c>
      <c r="B6" s="2">
        <f>'Sales Budget'!B6+'Sales Budget'!E6</f>
        <v>30000</v>
      </c>
      <c r="C6" s="4">
        <v>2</v>
      </c>
      <c r="D6" s="4">
        <f>B6*C6</f>
        <v>60000</v>
      </c>
      <c r="E6" s="4">
        <v>50000</v>
      </c>
      <c r="F6" s="4">
        <f>D6+E6</f>
        <v>110000</v>
      </c>
    </row>
  </sheetData>
  <mergeCells count="1">
    <mergeCell ref="A1:F1"/>
  </mergeCells>
  <pageMargins left="0.75" right="0.75" top="1" bottom="1" header="0.5" footer="0.5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"/>
  <sheetViews>
    <sheetView workbookViewId="0">
      <selection activeCell="J22" sqref="J22"/>
    </sheetView>
  </sheetViews>
  <sheetFormatPr baseColWidth="10" defaultColWidth="8.83203125" defaultRowHeight="15" x14ac:dyDescent="0.2"/>
  <cols>
    <col min="2" max="2" width="12.6640625" bestFit="1" customWidth="1"/>
    <col min="3" max="4" width="12.1640625" bestFit="1" customWidth="1"/>
    <col min="5" max="5" width="13.33203125" bestFit="1" customWidth="1"/>
    <col min="6" max="6" width="12.1640625" bestFit="1" customWidth="1"/>
    <col min="7" max="7" width="13.33203125" bestFit="1" customWidth="1"/>
    <col min="8" max="8" width="16.1640625" bestFit="1" customWidth="1"/>
    <col min="9" max="9" width="16.6640625" bestFit="1" customWidth="1"/>
    <col min="10" max="10" width="12.1640625" bestFit="1" customWidth="1"/>
    <col min="11" max="11" width="11.1640625" bestFit="1" customWidth="1"/>
  </cols>
  <sheetData>
    <row r="1" spans="1:11" ht="24" x14ac:dyDescent="0.3">
      <c r="A1" s="15" t="s">
        <v>133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">
      <c r="A2" s="9" t="s">
        <v>34</v>
      </c>
      <c r="B2" s="9" t="s">
        <v>85</v>
      </c>
      <c r="C2" s="9" t="s">
        <v>86</v>
      </c>
      <c r="D2" s="9" t="s">
        <v>87</v>
      </c>
      <c r="E2" s="9" t="s">
        <v>88</v>
      </c>
      <c r="F2" s="9" t="s">
        <v>89</v>
      </c>
      <c r="G2" s="9" t="s">
        <v>90</v>
      </c>
      <c r="H2" s="9" t="s">
        <v>91</v>
      </c>
      <c r="I2" s="9" t="s">
        <v>92</v>
      </c>
      <c r="J2" s="9" t="s">
        <v>93</v>
      </c>
      <c r="K2" s="9" t="s">
        <v>94</v>
      </c>
    </row>
    <row r="3" spans="1:11" x14ac:dyDescent="0.2">
      <c r="A3" s="3" t="s">
        <v>42</v>
      </c>
      <c r="B3" s="14">
        <f>Assumptions!B21</f>
        <v>50000</v>
      </c>
      <c r="C3" s="14">
        <f>(0.6*'Sales Budget'!H3)</f>
        <v>294000</v>
      </c>
      <c r="D3" s="14">
        <f>0.4*'Raw Materials Budget'!J3</f>
        <v>64400</v>
      </c>
      <c r="E3" s="14">
        <f>'Direct Labor Budget'!K3</f>
        <v>280000</v>
      </c>
      <c r="F3" s="14">
        <f>'Factory Overhead Budget'!G3-'Factory Overhead Budget'!F3</f>
        <v>145000</v>
      </c>
      <c r="G3" s="14">
        <f>'SG&amp;A Budget'!F3</f>
        <v>86000</v>
      </c>
      <c r="H3" s="14">
        <f>SUM(D3:G3)</f>
        <v>575400</v>
      </c>
      <c r="I3" s="14">
        <f>B3+C3-H3</f>
        <v>-231400</v>
      </c>
      <c r="J3" s="14">
        <f>MAX(0,50000-I3)</f>
        <v>281400</v>
      </c>
      <c r="K3" s="14">
        <f>I3+J3</f>
        <v>50000</v>
      </c>
    </row>
    <row r="4" spans="1:11" x14ac:dyDescent="0.2">
      <c r="A4" s="3" t="s">
        <v>43</v>
      </c>
      <c r="B4" s="14">
        <f>K3</f>
        <v>50000</v>
      </c>
      <c r="C4" s="14">
        <f>(0.6*'Sales Budget'!H4)+(0.4*'Sales Budget'!H3)</f>
        <v>601000</v>
      </c>
      <c r="D4" s="14">
        <f>'Raw Materials Budget'!J4*0.4 + 'Raw Materials Budget'!J3*0.4</f>
        <v>132160</v>
      </c>
      <c r="E4" s="14">
        <f>'Direct Labor Budget'!K4</f>
        <v>291000</v>
      </c>
      <c r="F4" s="14">
        <f>'Factory Overhead Budget'!G4-'Factory Overhead Budget'!F4</f>
        <v>147750</v>
      </c>
      <c r="G4" s="14">
        <f>'SG&amp;A Budget'!F4</f>
        <v>100000</v>
      </c>
      <c r="H4" s="14">
        <f>SUM(D4:G4)</f>
        <v>670910</v>
      </c>
      <c r="I4" s="14">
        <f>B4+C4-H4</f>
        <v>-19910</v>
      </c>
      <c r="J4" s="14">
        <f>MAX(0,50000-I4)</f>
        <v>69910</v>
      </c>
      <c r="K4" s="14">
        <f>I4+J4</f>
        <v>50000</v>
      </c>
    </row>
    <row r="5" spans="1:11" x14ac:dyDescent="0.2">
      <c r="A5" s="3" t="s">
        <v>44</v>
      </c>
      <c r="B5" s="14">
        <f>K4</f>
        <v>50000</v>
      </c>
      <c r="C5" s="14">
        <f>(0.6*'Sales Budget'!H5)+(0.4*'Sales Budget'!H4)</f>
        <v>612000</v>
      </c>
      <c r="D5" s="14">
        <f>'Raw Materials Budget'!J5*0.4 + 'Raw Materials Budget'!J4*0.4 + 'Raw Materials Budget'!J3*0.2</f>
        <v>163800</v>
      </c>
      <c r="E5" s="14">
        <f>'Direct Labor Budget'!K5</f>
        <v>276000</v>
      </c>
      <c r="F5" s="14">
        <f>'Factory Overhead Budget'!G5-'Factory Overhead Budget'!F5</f>
        <v>144000</v>
      </c>
      <c r="G5" s="14">
        <f>'SG&amp;A Budget'!F5</f>
        <v>92000</v>
      </c>
      <c r="H5" s="14">
        <f>SUM(D5:G5)</f>
        <v>675800</v>
      </c>
      <c r="I5" s="14">
        <f>B5+C5-H5</f>
        <v>-13800</v>
      </c>
      <c r="J5" s="14">
        <f>MAX(0,50000-I5)</f>
        <v>63800</v>
      </c>
      <c r="K5" s="14">
        <f>I5+J5</f>
        <v>50000</v>
      </c>
    </row>
    <row r="6" spans="1:11" x14ac:dyDescent="0.2">
      <c r="A6" s="3" t="s">
        <v>45</v>
      </c>
      <c r="B6" s="14">
        <f>K5</f>
        <v>50000</v>
      </c>
      <c r="C6" s="14">
        <f>(0.6*'Sales Budget'!H6)+(0.4*'Sales Budget'!H5)</f>
        <v>714000</v>
      </c>
      <c r="D6" s="14">
        <f>'Raw Materials Budget'!J6*0.4 + 'Raw Materials Budget'!J5*0.4 + 'Raw Materials Budget'!J4*0.2</f>
        <v>176120</v>
      </c>
      <c r="E6" s="14">
        <f>'Direct Labor Budget'!K6</f>
        <v>337000</v>
      </c>
      <c r="F6" s="14">
        <f>'Factory Overhead Budget'!G6-'Factory Overhead Budget'!F6</f>
        <v>159250</v>
      </c>
      <c r="G6" s="14">
        <f>'SG&amp;A Budget'!F6</f>
        <v>110000</v>
      </c>
      <c r="H6" s="14">
        <f>SUM(D6:G6)</f>
        <v>782370</v>
      </c>
      <c r="I6" s="14">
        <f>B6+C6-H6</f>
        <v>-18370</v>
      </c>
      <c r="J6" s="14">
        <f>MAX(0,50000-I6)</f>
        <v>68370</v>
      </c>
      <c r="K6" s="14">
        <f>I6+J6</f>
        <v>50000</v>
      </c>
    </row>
  </sheetData>
  <mergeCells count="1">
    <mergeCell ref="A1:K1"/>
  </mergeCells>
  <pageMargins left="0.75" right="0.75" top="1" bottom="1" header="0.5" footer="0.5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8"/>
  <sheetViews>
    <sheetView workbookViewId="0">
      <selection activeCell="F14" sqref="F14"/>
    </sheetView>
  </sheetViews>
  <sheetFormatPr baseColWidth="10" defaultColWidth="8.83203125" defaultRowHeight="15" x14ac:dyDescent="0.2"/>
  <cols>
    <col min="2" max="3" width="12.1640625" bestFit="1" customWidth="1"/>
    <col min="4" max="4" width="11.1640625" bestFit="1" customWidth="1"/>
    <col min="5" max="5" width="12.1640625" bestFit="1" customWidth="1"/>
    <col min="6" max="6" width="14.83203125" bestFit="1" customWidth="1"/>
    <col min="7" max="7" width="13.5" bestFit="1" customWidth="1"/>
    <col min="8" max="8" width="11.6640625" bestFit="1" customWidth="1"/>
    <col min="9" max="9" width="10" bestFit="1" customWidth="1"/>
    <col min="10" max="10" width="12.83203125" bestFit="1" customWidth="1"/>
  </cols>
  <sheetData>
    <row r="1" spans="1:10" ht="24" x14ac:dyDescent="0.3">
      <c r="A1" s="15" t="s">
        <v>134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">
      <c r="A2" s="9" t="s">
        <v>34</v>
      </c>
      <c r="B2" s="9" t="s">
        <v>95</v>
      </c>
      <c r="C2" s="9" t="s">
        <v>96</v>
      </c>
      <c r="D2" s="9" t="s">
        <v>97</v>
      </c>
      <c r="E2" s="9" t="s">
        <v>98</v>
      </c>
      <c r="F2" s="9" t="s">
        <v>99</v>
      </c>
      <c r="G2" s="9" t="s">
        <v>100</v>
      </c>
      <c r="H2" s="9" t="s">
        <v>101</v>
      </c>
      <c r="I2" s="9" t="s">
        <v>102</v>
      </c>
      <c r="J2" s="9" t="s">
        <v>103</v>
      </c>
    </row>
    <row r="3" spans="1:10" x14ac:dyDescent="0.2">
      <c r="A3" s="3" t="s">
        <v>42</v>
      </c>
      <c r="B3" s="4">
        <f>'Sales Budget'!H3</f>
        <v>490000</v>
      </c>
      <c r="C3" s="14">
        <f>('Finished Goods Inventory Budget'!$B$3*'Sales Budget'!B3)+('Finished Goods Inventory Budget'!$E$3*'Sales Budget'!E3)</f>
        <v>459695.65217391308</v>
      </c>
      <c r="D3" s="14">
        <f>B3-C3</f>
        <v>30304.347826086916</v>
      </c>
      <c r="E3" s="14">
        <f>'SG&amp;A Budget'!F3</f>
        <v>86000</v>
      </c>
      <c r="F3" s="14">
        <f>D3-E3</f>
        <v>-55695.652173913084</v>
      </c>
      <c r="G3" s="14">
        <f>'Cash Budget'!J3*0.06/4</f>
        <v>4221</v>
      </c>
      <c r="H3" s="14">
        <f>F3-G3</f>
        <v>-59916.652173913084</v>
      </c>
      <c r="I3" s="14">
        <f>MAX(0,H3*0.25)</f>
        <v>0</v>
      </c>
      <c r="J3" s="14">
        <f>H3-I3</f>
        <v>-59916.652173913084</v>
      </c>
    </row>
    <row r="4" spans="1:10" x14ac:dyDescent="0.2">
      <c r="A4" s="3" t="s">
        <v>43</v>
      </c>
      <c r="B4" s="4">
        <f>'Sales Budget'!H4</f>
        <v>675000</v>
      </c>
      <c r="C4" s="14">
        <f>('Finished Goods Inventory Budget'!$B$3*'Sales Budget'!B4)+('Finished Goods Inventory Budget'!$E$3*'Sales Budget'!E4)</f>
        <v>631521.73913043481</v>
      </c>
      <c r="D4" s="14">
        <f>B4-C4</f>
        <v>43478.260869565187</v>
      </c>
      <c r="E4" s="14">
        <f>'SG&amp;A Budget'!F4</f>
        <v>100000</v>
      </c>
      <c r="F4" s="14">
        <f>D4-E4</f>
        <v>-56521.739130434813</v>
      </c>
      <c r="G4" s="14">
        <f>'Cash Budget'!J4*0.06/4</f>
        <v>1048.6499999999999</v>
      </c>
      <c r="H4" s="14">
        <f>F4-G4</f>
        <v>-57570.389130434814</v>
      </c>
      <c r="I4" s="14">
        <f>MAX(0,H4*0.25)</f>
        <v>0</v>
      </c>
      <c r="J4" s="14">
        <f>H4-I4</f>
        <v>-57570.389130434814</v>
      </c>
    </row>
    <row r="5" spans="1:10" x14ac:dyDescent="0.2">
      <c r="A5" s="3" t="s">
        <v>44</v>
      </c>
      <c r="B5" s="4">
        <f>'Sales Budget'!H5</f>
        <v>570000</v>
      </c>
      <c r="C5" s="14">
        <f>('Finished Goods Inventory Budget'!$B$3*'Sales Budget'!B5)+('Finished Goods Inventory Budget'!$E$3*'Sales Budget'!E5)</f>
        <v>534228.26086956519</v>
      </c>
      <c r="D5" s="14">
        <f>B5-C5</f>
        <v>35771.739130434813</v>
      </c>
      <c r="E5" s="14">
        <f>'SG&amp;A Budget'!F5</f>
        <v>92000</v>
      </c>
      <c r="F5" s="14">
        <f>D5-E5</f>
        <v>-56228.260869565187</v>
      </c>
      <c r="G5" s="14">
        <f>'Cash Budget'!J5*0.06/4</f>
        <v>957</v>
      </c>
      <c r="H5" s="14">
        <f>F5-G5</f>
        <v>-57185.260869565187</v>
      </c>
      <c r="I5" s="14">
        <f>MAX(0,H5*0.25)</f>
        <v>0</v>
      </c>
      <c r="J5" s="14">
        <f>H5-I5</f>
        <v>-57185.260869565187</v>
      </c>
    </row>
    <row r="6" spans="1:10" x14ac:dyDescent="0.2">
      <c r="A6" s="3" t="s">
        <v>45</v>
      </c>
      <c r="B6" s="4">
        <f>'Sales Budget'!H6</f>
        <v>810000</v>
      </c>
      <c r="C6" s="14">
        <f>('Finished Goods Inventory Budget'!$B$3*'Sales Budget'!B6)+('Finished Goods Inventory Budget'!$E$3*'Sales Budget'!E6)</f>
        <v>757826.08695652173</v>
      </c>
      <c r="D6" s="14">
        <f>B6-C6</f>
        <v>52173.913043478271</v>
      </c>
      <c r="E6" s="14">
        <f>'SG&amp;A Budget'!F6</f>
        <v>110000</v>
      </c>
      <c r="F6" s="14">
        <f>D6-E6</f>
        <v>-57826.086956521729</v>
      </c>
      <c r="G6" s="14">
        <f>'Cash Budget'!J6*0.06/4</f>
        <v>1025.55</v>
      </c>
      <c r="H6" s="14">
        <f>F6-G6</f>
        <v>-58851.636956521732</v>
      </c>
      <c r="I6" s="14">
        <f>MAX(0,H6*0.25)</f>
        <v>0</v>
      </c>
      <c r="J6" s="14">
        <f>H6-I6</f>
        <v>-58851.636956521732</v>
      </c>
    </row>
    <row r="7" spans="1:10" x14ac:dyDescent="0.2">
      <c r="B7" s="4"/>
      <c r="C7" s="14"/>
      <c r="D7" s="14"/>
      <c r="E7" s="14"/>
      <c r="F7" s="14"/>
      <c r="G7" s="14"/>
      <c r="H7" s="14"/>
      <c r="I7" s="14"/>
      <c r="J7" s="14"/>
    </row>
    <row r="8" spans="1:10" x14ac:dyDescent="0.2">
      <c r="A8" t="s">
        <v>125</v>
      </c>
      <c r="B8" s="4"/>
      <c r="C8" s="14"/>
      <c r="D8" s="14"/>
      <c r="E8" s="14"/>
      <c r="F8" s="14"/>
      <c r="G8" s="14"/>
      <c r="H8" s="14"/>
      <c r="I8" s="14"/>
      <c r="J8" s="14">
        <f>SUM(J3:J6)</f>
        <v>-233523.93913043482</v>
      </c>
    </row>
  </sheetData>
  <mergeCells count="1">
    <mergeCell ref="A1:J1"/>
  </mergeCells>
  <pageMargins left="0.75" right="0.75" top="1" bottom="1" header="0.5" footer="0.5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H13" sqref="H13"/>
    </sheetView>
  </sheetViews>
  <sheetFormatPr baseColWidth="10" defaultColWidth="8.83203125" defaultRowHeight="15" x14ac:dyDescent="0.2"/>
  <cols>
    <col min="2" max="2" width="22.83203125" bestFit="1" customWidth="1"/>
    <col min="3" max="3" width="11.6640625" bestFit="1" customWidth="1"/>
    <col min="4" max="4" width="12.5" bestFit="1" customWidth="1"/>
    <col min="5" max="5" width="20.33203125" bestFit="1" customWidth="1"/>
  </cols>
  <sheetData>
    <row r="1" spans="1:5" ht="24" x14ac:dyDescent="0.3">
      <c r="A1" s="15" t="s">
        <v>135</v>
      </c>
      <c r="B1" s="15"/>
      <c r="C1" s="15"/>
      <c r="D1" s="15"/>
      <c r="E1" s="15"/>
    </row>
    <row r="2" spans="1:5" x14ac:dyDescent="0.2">
      <c r="A2" s="9" t="s">
        <v>34</v>
      </c>
      <c r="B2" s="9" t="s">
        <v>114</v>
      </c>
      <c r="C2" s="9" t="s">
        <v>103</v>
      </c>
      <c r="D2" s="9" t="s">
        <v>115</v>
      </c>
      <c r="E2" s="9" t="s">
        <v>116</v>
      </c>
    </row>
    <row r="3" spans="1:5" x14ac:dyDescent="0.2">
      <c r="A3" s="3" t="s">
        <v>42</v>
      </c>
      <c r="B3" s="4">
        <v>0</v>
      </c>
      <c r="C3" s="4">
        <f>'Income Statement'!J3</f>
        <v>-59916.652173913084</v>
      </c>
      <c r="D3" s="4">
        <v>31250</v>
      </c>
      <c r="E3" s="4">
        <f>B3+C3-D3</f>
        <v>-91166.652173913084</v>
      </c>
    </row>
    <row r="4" spans="1:5" x14ac:dyDescent="0.2">
      <c r="A4" s="3" t="s">
        <v>43</v>
      </c>
      <c r="B4" s="4">
        <f>E3</f>
        <v>-91166.652173913084</v>
      </c>
      <c r="C4" s="4">
        <f>'Income Statement'!J4</f>
        <v>-57570.389130434814</v>
      </c>
      <c r="D4" s="4">
        <v>31250</v>
      </c>
      <c r="E4" s="4">
        <f>B4+C4-D4</f>
        <v>-179987.04130434789</v>
      </c>
    </row>
    <row r="5" spans="1:5" x14ac:dyDescent="0.2">
      <c r="A5" s="3" t="s">
        <v>44</v>
      </c>
      <c r="B5" s="4">
        <f>E4</f>
        <v>-179987.04130434789</v>
      </c>
      <c r="C5" s="4">
        <f>'Income Statement'!J5</f>
        <v>-57185.260869565187</v>
      </c>
      <c r="D5" s="4">
        <v>31250</v>
      </c>
      <c r="E5" s="4">
        <f>B5+C5-D5</f>
        <v>-268422.30217391311</v>
      </c>
    </row>
    <row r="6" spans="1:5" x14ac:dyDescent="0.2">
      <c r="A6" s="3" t="s">
        <v>45</v>
      </c>
      <c r="B6" s="4">
        <f>E5</f>
        <v>-268422.30217391311</v>
      </c>
      <c r="C6" s="4">
        <f>'Income Statement'!J6</f>
        <v>-58851.636956521732</v>
      </c>
      <c r="D6" s="4">
        <v>31250</v>
      </c>
      <c r="E6" s="4">
        <f>B6+C6-D6</f>
        <v>-358523.93913043482</v>
      </c>
    </row>
  </sheetData>
  <mergeCells count="1">
    <mergeCell ref="A1:E1"/>
  </mergeCells>
  <pageMargins left="0.75" right="0.75" top="1" bottom="1" header="0.5" footer="0.5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workbookViewId="0">
      <selection activeCell="F13" sqref="F13"/>
    </sheetView>
  </sheetViews>
  <sheetFormatPr baseColWidth="10" defaultColWidth="8.83203125" defaultRowHeight="15" x14ac:dyDescent="0.2"/>
  <cols>
    <col min="1" max="1" width="28" bestFit="1" customWidth="1"/>
    <col min="2" max="2" width="13.6640625" bestFit="1" customWidth="1"/>
  </cols>
  <sheetData>
    <row r="1" spans="1:2" ht="24" x14ac:dyDescent="0.3">
      <c r="A1" s="15" t="s">
        <v>136</v>
      </c>
      <c r="B1" s="15"/>
    </row>
    <row r="2" spans="1:2" x14ac:dyDescent="0.2">
      <c r="A2" s="12" t="s">
        <v>104</v>
      </c>
      <c r="B2" s="13" t="s">
        <v>26</v>
      </c>
    </row>
    <row r="3" spans="1:2" x14ac:dyDescent="0.2">
      <c r="A3" s="7" t="s">
        <v>28</v>
      </c>
      <c r="B3" s="8">
        <v>50000</v>
      </c>
    </row>
    <row r="4" spans="1:2" x14ac:dyDescent="0.2">
      <c r="A4" s="7" t="s">
        <v>29</v>
      </c>
      <c r="B4" s="8">
        <f>('Sales Budget'!D6+'Sales Budget'!H6)*0.4</f>
        <v>504000</v>
      </c>
    </row>
    <row r="5" spans="1:2" x14ac:dyDescent="0.2">
      <c r="A5" s="7" t="s">
        <v>30</v>
      </c>
      <c r="B5" s="8">
        <f>'Raw Materials Budget'!J6</f>
        <v>196000</v>
      </c>
    </row>
    <row r="6" spans="1:2" x14ac:dyDescent="0.2">
      <c r="A6" s="7" t="s">
        <v>32</v>
      </c>
      <c r="B6" s="8">
        <f>'Finished Goods Inventory Budget'!D6+'Finished Goods Inventory Budget'!G6</f>
        <v>99964.28571428571</v>
      </c>
    </row>
    <row r="7" spans="1:2" x14ac:dyDescent="0.2">
      <c r="A7" s="7" t="s">
        <v>105</v>
      </c>
      <c r="B7" s="8">
        <f>Assumptions!B25-'Factory Overhead Budget'!F3-'Factory Overhead Budget'!F4-'Factory Overhead Budget'!F5-'Factory Overhead Budget'!F6</f>
        <v>450000</v>
      </c>
    </row>
    <row r="8" spans="1:2" x14ac:dyDescent="0.2">
      <c r="A8" s="7" t="s">
        <v>33</v>
      </c>
      <c r="B8" s="8">
        <f>SUM(B3:B7)</f>
        <v>1299964.2857142857</v>
      </c>
    </row>
    <row r="9" spans="1:2" x14ac:dyDescent="0.2">
      <c r="A9" s="7" t="s">
        <v>106</v>
      </c>
      <c r="B9" s="8">
        <f>'Raw Materials Budget'!J6*0.6</f>
        <v>117600</v>
      </c>
    </row>
    <row r="10" spans="1:2" x14ac:dyDescent="0.2">
      <c r="A10" s="7" t="s">
        <v>107</v>
      </c>
      <c r="B10" s="8">
        <f>SUM('Cash Budget'!G3:G6)</f>
        <v>388000</v>
      </c>
    </row>
    <row r="11" spans="1:2" x14ac:dyDescent="0.2">
      <c r="A11" s="7" t="s">
        <v>108</v>
      </c>
      <c r="B11" s="8">
        <f>SUM(B9:B10)</f>
        <v>505600</v>
      </c>
    </row>
    <row r="12" spans="1:2" x14ac:dyDescent="0.2">
      <c r="A12" s="7" t="s">
        <v>109</v>
      </c>
      <c r="B12" s="8">
        <f>B8-B11</f>
        <v>794364.28571428568</v>
      </c>
    </row>
    <row r="13" spans="1:2" x14ac:dyDescent="0.2">
      <c r="A13" s="7" t="s">
        <v>31</v>
      </c>
      <c r="B13" s="8">
        <f>B11+B12</f>
        <v>1299964.2857142857</v>
      </c>
    </row>
  </sheetData>
  <mergeCells count="1">
    <mergeCell ref="A1:B1"/>
  </mergeCells>
  <pageMargins left="0.75" right="0.75" top="1" bottom="1" header="0.5" footer="0.5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tabSelected="1" workbookViewId="0">
      <selection activeCell="Q11" sqref="Q11"/>
    </sheetView>
  </sheetViews>
  <sheetFormatPr baseColWidth="10" defaultColWidth="8.83203125" defaultRowHeight="15" x14ac:dyDescent="0.2"/>
  <cols>
    <col min="2" max="2" width="11.6640625" bestFit="1" customWidth="1"/>
    <col min="3" max="3" width="11.1640625" bestFit="1" customWidth="1"/>
    <col min="4" max="4" width="12.1640625" bestFit="1" customWidth="1"/>
    <col min="5" max="5" width="16.5" bestFit="1" customWidth="1"/>
    <col min="6" max="6" width="12.1640625" bestFit="1" customWidth="1"/>
    <col min="7" max="7" width="17.6640625" bestFit="1" customWidth="1"/>
  </cols>
  <sheetData>
    <row r="1" spans="1:7" ht="24" x14ac:dyDescent="0.3">
      <c r="A1" s="15" t="s">
        <v>137</v>
      </c>
      <c r="B1" s="15"/>
      <c r="C1" s="15"/>
      <c r="D1" s="15"/>
      <c r="E1" s="15"/>
      <c r="F1" s="15"/>
      <c r="G1" s="15"/>
    </row>
    <row r="2" spans="1:7" x14ac:dyDescent="0.2">
      <c r="A2" s="10" t="s">
        <v>34</v>
      </c>
      <c r="B2" s="10" t="s">
        <v>103</v>
      </c>
      <c r="C2" s="10" t="s">
        <v>72</v>
      </c>
      <c r="D2" s="10" t="s">
        <v>110</v>
      </c>
      <c r="E2" s="10" t="s">
        <v>111</v>
      </c>
      <c r="F2" s="10" t="s">
        <v>112</v>
      </c>
      <c r="G2" s="10" t="s">
        <v>113</v>
      </c>
    </row>
    <row r="3" spans="1:7" x14ac:dyDescent="0.2">
      <c r="A3" s="3" t="s">
        <v>42</v>
      </c>
      <c r="B3" s="4">
        <f>'Income Statement'!J3</f>
        <v>-59916.652173913084</v>
      </c>
      <c r="C3" s="4">
        <f>'Factory Overhead Budget'!F3</f>
        <v>12500</v>
      </c>
      <c r="D3" s="4">
        <f>0</f>
        <v>0</v>
      </c>
      <c r="E3" s="4">
        <f>0</f>
        <v>0</v>
      </c>
      <c r="F3" s="4">
        <f>'Raw Materials Budget'!J3*0.6</f>
        <v>96600</v>
      </c>
      <c r="G3" s="4">
        <f>B3+C3-D3-E3+F3</f>
        <v>49183.347826086916</v>
      </c>
    </row>
    <row r="4" spans="1:7" x14ac:dyDescent="0.2">
      <c r="A4" s="3" t="s">
        <v>43</v>
      </c>
      <c r="B4" s="4">
        <f>'Income Statement'!J4</f>
        <v>-57570.389130434814</v>
      </c>
      <c r="C4" s="4">
        <f>'Factory Overhead Budget'!F4</f>
        <v>12500</v>
      </c>
      <c r="D4" s="4">
        <f>'Sales Budget'!D3*0.4+'Sales Budget'!H3*0.4</f>
        <v>296000</v>
      </c>
      <c r="E4" s="4">
        <f>('Raw Materials Budget'!J4-'Raw Materials Budget'!J3) + ('Finished Goods Inventory Budget'!D4+'Finished Goods Inventory Budget'!G4-('Finished Goods Inventory Budget'!D3+'Finished Goods Inventory Budget'!G3))</f>
        <v>-11737.818900467115</v>
      </c>
      <c r="F4" s="4">
        <f>'Raw Materials Budget'!J4*0.6</f>
        <v>101640</v>
      </c>
      <c r="G4" s="4">
        <f>B4+C4-D4-E4+F4</f>
        <v>-227692.57022996771</v>
      </c>
    </row>
    <row r="5" spans="1:7" x14ac:dyDescent="0.2">
      <c r="A5" s="3" t="s">
        <v>44</v>
      </c>
      <c r="B5" s="4">
        <f>'Income Statement'!J5</f>
        <v>-57185.260869565187</v>
      </c>
      <c r="C5" s="4">
        <f>'Factory Overhead Budget'!F5</f>
        <v>12500</v>
      </c>
      <c r="D5" s="4">
        <f>'Sales Budget'!D4*0.4+'Sales Budget'!H4*0.4</f>
        <v>420000</v>
      </c>
      <c r="E5" s="4">
        <f>('Raw Materials Budget'!J5-'Raw Materials Budget'!J4) + ('Finished Goods Inventory Budget'!D5+'Finished Goods Inventory Budget'!G5-('Finished Goods Inventory Budget'!D4+'Finished Goods Inventory Budget'!G4))</f>
        <v>35770.313179643301</v>
      </c>
      <c r="F5" s="4">
        <f>'Raw Materials Budget'!J5*0.6</f>
        <v>95760</v>
      </c>
      <c r="G5" s="4">
        <f>B5+C5-D5-E5+F5</f>
        <v>-404695.57404920849</v>
      </c>
    </row>
    <row r="6" spans="1:7" x14ac:dyDescent="0.2">
      <c r="A6" s="3" t="s">
        <v>45</v>
      </c>
      <c r="B6" s="4">
        <f>'Income Statement'!J6</f>
        <v>-58851.636956521732</v>
      </c>
      <c r="C6" s="4">
        <f>'Factory Overhead Budget'!F6</f>
        <v>12500</v>
      </c>
      <c r="D6" s="4">
        <f>'Sales Budget'!D5*0.4+'Sales Budget'!H5*0.4</f>
        <v>348000</v>
      </c>
      <c r="E6" s="4">
        <f>('Raw Materials Budget'!J6-'Raw Materials Budget'!J5) + ('Finished Goods Inventory Budget'!D6+'Finished Goods Inventory Budget'!G6-('Finished Goods Inventory Budget'!D5+'Finished Goods Inventory Budget'!G5))</f>
        <v>-15372.556390977436</v>
      </c>
      <c r="F6" s="4">
        <f>'Raw Materials Budget'!J6*0.6</f>
        <v>117600</v>
      </c>
      <c r="G6" s="4">
        <f>B6+C6-D6-E6+F6</f>
        <v>-261379.08056554431</v>
      </c>
    </row>
  </sheetData>
  <mergeCells count="1">
    <mergeCell ref="A1:G1"/>
  </mergeCells>
  <pageMargins left="0.75" right="0.75" top="1" bottom="1" header="0.5" footer="0.5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Assumptions</vt:lpstr>
      <vt:lpstr>Opening Balance Sheet</vt:lpstr>
      <vt:lpstr>Sales Budget</vt:lpstr>
      <vt:lpstr>Production Budget</vt:lpstr>
      <vt:lpstr>Raw Materials Budget</vt:lpstr>
      <vt:lpstr>Direct Labor Budget</vt:lpstr>
      <vt:lpstr>Factory Overhead Budget</vt:lpstr>
      <vt:lpstr>Finished Goods Inventory Budget</vt:lpstr>
      <vt:lpstr>SG&amp;A Budget</vt:lpstr>
      <vt:lpstr>Cash Budget</vt:lpstr>
      <vt:lpstr>Income Statement</vt:lpstr>
      <vt:lpstr>Statement of Retained Earnings</vt:lpstr>
      <vt:lpstr>Closing Balance Sheet</vt:lpstr>
      <vt:lpstr>Statement of Cash 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Tarapchak, Ryan James</cp:lastModifiedBy>
  <dcterms:created xsi:type="dcterms:W3CDTF">2025-09-28T22:34:20Z</dcterms:created>
  <dcterms:modified xsi:type="dcterms:W3CDTF">2026-04-20T22:32:07Z</dcterms:modified>
</cp:coreProperties>
</file>